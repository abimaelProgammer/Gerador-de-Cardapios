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  <sheet name="Sheet2" sheetId="2" state="hidden" r:id="rId4"/>
  </sheets>
  <definedNames>
    <definedName function="false" hidden="false" localSheetId="0" name="_xlnm.Print_Area" vbProcedure="false">Sheet!$B$1:$D$67</definedName>
    <definedName function="false" hidden="true" localSheetId="0" name="_xlnm._FilterDatabase" vbProcedure="false">Sheet!$A$2:$BA$67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<sst xmlns="http://schemas.openxmlformats.org/spreadsheetml/2006/main" count="169" uniqueCount="85">
  <si>
    <t xml:space="preserve">CARDÁPIO 28/07/2026</t>
  </si>
  <si>
    <t xml:space="preserve">IMP</t>
  </si>
  <si>
    <t xml:space="preserve">CÓD</t>
  </si>
  <si>
    <t xml:space="preserve">ITENS</t>
  </si>
  <si>
    <t xml:space="preserve">R$</t>
  </si>
  <si>
    <t xml:space="preserve">01</t>
  </si>
  <si>
    <t xml:space="preserve">02</t>
  </si>
  <si>
    <t xml:space="preserve">04</t>
  </si>
  <si>
    <t xml:space="preserve">05</t>
  </si>
  <si>
    <t xml:space="preserve">07</t>
  </si>
  <si>
    <t xml:space="preserve">09</t>
  </si>
  <si>
    <t xml:space="preserve">TOTAL</t>
  </si>
  <si>
    <t xml:space="preserve">S</t>
  </si>
  <si>
    <t xml:space="preserve">PETISCOS (Produção Própria)</t>
  </si>
  <si>
    <t xml:space="preserve">Bolinho de Bacalhau (06 unidades)</t>
  </si>
  <si>
    <t xml:space="preserve">N</t>
  </si>
  <si>
    <t xml:space="preserve">Caldinho de Camarão</t>
  </si>
  <si>
    <t xml:space="preserve">Caldinho de Feijão</t>
  </si>
  <si>
    <t xml:space="preserve">Camarão Empanado (08 unidades)</t>
  </si>
  <si>
    <t xml:space="preserve">Camarão Frito c/ Arroz e Farofa</t>
  </si>
  <si>
    <t xml:space="preserve">Carne de Sol Defumada c/farofa e macaxeira</t>
  </si>
  <si>
    <t xml:space="preserve">Carne de Sol em Cubos na Manteiga de Garrafa</t>
  </si>
  <si>
    <t xml:space="preserve">Casquinho de Carangueijo c/ Farofa</t>
  </si>
  <si>
    <t xml:space="preserve">Coxinha c/ Massa de Macaxeira (08 unidades)</t>
  </si>
  <si>
    <t xml:space="preserve">Croquete de Macaxeira c/ Carne de Sol</t>
  </si>
  <si>
    <t xml:space="preserve">Dadinho de Tapioca c/ Geléia de Pimenta (08 unidades)</t>
  </si>
  <si>
    <t xml:space="preserve">Escondidinho de Carne de Sol</t>
  </si>
  <si>
    <t xml:space="preserve">Espetinho de Frango c/ Vinagrete de Feijão Verde e Farofa</t>
  </si>
  <si>
    <t xml:space="preserve">Espetinho de Suino c/ Vinagrete de Feijão Verde e Farofa</t>
  </si>
  <si>
    <t xml:space="preserve">Frango a Passarinho</t>
  </si>
  <si>
    <t xml:space="preserve">Kibe (06 unidades)</t>
  </si>
  <si>
    <t xml:space="preserve">Lagarto ao molho Madeira c/ arroz e fritas</t>
  </si>
  <si>
    <t xml:space="preserve">Macaxeira Frita c/ Queijo Parmesão</t>
  </si>
  <si>
    <t xml:space="preserve">Pastel de Camarão c/ queijo (06 unidades)</t>
  </si>
  <si>
    <t xml:space="preserve">Pastel de Carne Moida (06 unidades)</t>
  </si>
  <si>
    <t xml:space="preserve">Polenta Frita c/ Queijo Parmesão</t>
  </si>
  <si>
    <t xml:space="preserve">Pratinho de Vatapá de Frango c/ Arroz, Paçoca e Calabresa</t>
  </si>
  <si>
    <t xml:space="preserve">Risoles de Camarão (06 unidades)</t>
  </si>
  <si>
    <t xml:space="preserve">Unha de Carangueijo (05 unidades)</t>
  </si>
  <si>
    <t xml:space="preserve">APERITIVOS</t>
  </si>
  <si>
    <t xml:space="preserve">Cachaça de Banana</t>
  </si>
  <si>
    <t xml:space="preserve">Cachaça Matuta Black Blend</t>
  </si>
  <si>
    <t xml:space="preserve">Cachaça Matuta Cristal</t>
  </si>
  <si>
    <t xml:space="preserve">Cachaça Matuta Umburana</t>
  </si>
  <si>
    <t xml:space="preserve">Campari</t>
  </si>
  <si>
    <t xml:space="preserve">BEBIDAS SEM ALCOOL</t>
  </si>
  <si>
    <t xml:space="preserve">Água Mineral</t>
  </si>
  <si>
    <t xml:space="preserve">Água Mineral com gás</t>
  </si>
  <si>
    <t xml:space="preserve">Água Tônica Schweppes</t>
  </si>
  <si>
    <t xml:space="preserve">Coca Cola Zero Lata</t>
  </si>
  <si>
    <t xml:space="preserve">Cola Cola Lata</t>
  </si>
  <si>
    <t xml:space="preserve">Fanta Laranja Lata</t>
  </si>
  <si>
    <t xml:space="preserve">Guarana Antártica Lata</t>
  </si>
  <si>
    <t xml:space="preserve">Red Bull</t>
  </si>
  <si>
    <t xml:space="preserve">Red Bull Cereja</t>
  </si>
  <si>
    <t xml:space="preserve">CERVEJAS LONG NECK</t>
  </si>
  <si>
    <t xml:space="preserve">Cerveja Budweiser</t>
  </si>
  <si>
    <t xml:space="preserve">Cerveja Budweiser ZERO</t>
  </si>
  <si>
    <t xml:space="preserve">Cerveja Heineken</t>
  </si>
  <si>
    <t xml:space="preserve">DESTILADOS</t>
  </si>
  <si>
    <t xml:space="preserve">Gin Beefeater</t>
  </si>
  <si>
    <t xml:space="preserve">Gin Gordon´s</t>
  </si>
  <si>
    <t xml:space="preserve">Gin Tanqueray</t>
  </si>
  <si>
    <t xml:space="preserve">Vodka Absolut</t>
  </si>
  <si>
    <t xml:space="preserve">Vodka Smirnoff</t>
  </si>
  <si>
    <t xml:space="preserve">Whisky Chivas 12 anos</t>
  </si>
  <si>
    <t xml:space="preserve">Whisky Old Parr 12 anos</t>
  </si>
  <si>
    <t xml:space="preserve">Whisky Red Label 8 anos</t>
  </si>
  <si>
    <t xml:space="preserve">Rolha - Destilados</t>
  </si>
  <si>
    <t xml:space="preserve">ESPUMANTE &amp; VINHO</t>
  </si>
  <si>
    <t xml:space="preserve">Espumante Brut Espanhol</t>
  </si>
  <si>
    <t xml:space="preserve">Vinho Branco (Diversos)</t>
  </si>
  <si>
    <t xml:space="preserve">Vinho Rose (Diversos)</t>
  </si>
  <si>
    <t xml:space="preserve">Vinho Tinto (Diversos)</t>
  </si>
  <si>
    <t xml:space="preserve">Rolha - Espumante &amp; Vinhos</t>
  </si>
  <si>
    <t xml:space="preserve">Courvet Artistico R$ 20,00</t>
  </si>
  <si>
    <t xml:space="preserve">Cobramos 10% como taxa de serviço</t>
  </si>
  <si>
    <t xml:space="preserve">Rede WI-FI: Clientes Le Clair    Senha: @Clientes2026</t>
  </si>
  <si>
    <t xml:space="preserve">PIX (CPF) 428.255.047-34</t>
  </si>
  <si>
    <t xml:space="preserve">Sem controle</t>
  </si>
  <si>
    <t xml:space="preserve">Ativo</t>
  </si>
  <si>
    <t xml:space="preserve">Regular</t>
  </si>
  <si>
    <t xml:space="preserve">Pausado</t>
  </si>
  <si>
    <t xml:space="preserve">Abaixo do mínimo</t>
  </si>
  <si>
    <t xml:space="preserve">Insuficiente / negativo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</si>
</sst>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"/>
    <numFmt numFmtId="167" formatCode="@"/>
    <numFmt numFmtId="168" formatCode="#,##0"/>
    <numFmt numFmtId="169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25"/>
      <color rgb="FF4169E1"/>
      <name val="Calibri"/>
      <family val="0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8"/>
      <color rgb="FF4169E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6"/>
      <color rgb="FF4169E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rgb="FF4169E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5"/>
        <bgColor rgb="FFC9C9C9"/>
      </patternFill>
    </fill>
    <fill>
      <patternFill patternType="solid">
        <fgColor theme="0" tint="-0.25"/>
        <bgColor rgb="FFC9C9C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6" tint="0.3999"/>
        <bgColor rgb="FFBFBFBF"/>
      </patternFill>
    </fill>
    <fill>
      <patternFill patternType="solid">
        <fgColor theme="8" tint="0.3999"/>
        <bgColor rgb="FF969696"/>
      </patternFill>
    </fill>
    <fill>
      <patternFill patternType="solid">
        <fgColor rgb="FF92D050"/>
        <bgColor rgb="FFBFBFBF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169E1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9C9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9C9C9"/>
      <rgbColor rgb="FFFF99CC"/>
      <rgbColor rgb="FFCC99FF"/>
      <rgbColor rgb="FFFFCC99"/>
      <rgbColor rgb="FF4169E1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BA75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pane xSplit="0" ySplit="2" topLeftCell="A57" activePane="bottomLeft" state="frozen"/>
      <selection pane="topLeft" activeCell="A1" activeCellId="0" sqref="A1"/>
      <selection pane="bottomLeft" activeCell="B67" activeCellId="0" sqref="B67"/>
    </sheetView>
  </sheetViews>
  <sheetFormatPr defaultColWidth="8.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1" width="7.71"/>
    <col collapsed="false" customWidth="true" hidden="false" outlineLevel="0" max="3" min="3" style="2" width="72"/>
    <col collapsed="false" customWidth="true" hidden="false" outlineLevel="0" max="4" min="4" style="3" width="8.29"/>
    <col collapsed="false" customWidth="true" hidden="false" outlineLevel="0" max="5" min="5" style="1" width="8.86"/>
    <col collapsed="false" customWidth="true" hidden="false" outlineLevel="0" max="6" min="6" style="2" width="61.86"/>
    <col collapsed="false" customWidth="true" hidden="false" outlineLevel="0" max="7" min="7" style="3" width="8.29"/>
    <col collapsed="false" customWidth="true" hidden="false" outlineLevel="0" max="8" min="8" style="4" width="4.57"/>
    <col collapsed="false" customWidth="true" hidden="false" outlineLevel="0" max="9" min="9" style="0" width="7.29"/>
    <col collapsed="false" customWidth="true" hidden="false" outlineLevel="0" max="10" min="10" style="4" width="4"/>
    <col collapsed="false" customWidth="true" hidden="false" outlineLevel="0" max="11" min="11" style="0" width="7.15"/>
    <col collapsed="false" customWidth="true" hidden="false" outlineLevel="0" max="12" min="12" style="4" width="4"/>
    <col collapsed="false" customWidth="true" hidden="false" outlineLevel="0" max="13" min="13" style="0" width="8.29"/>
    <col collapsed="false" customWidth="true" hidden="false" outlineLevel="0" max="14" min="14" style="0" width="3.42"/>
    <col collapsed="false" customWidth="true" hidden="false" outlineLevel="0" max="15" min="15" style="0" width="5.86"/>
    <col collapsed="false" customWidth="true" hidden="false" outlineLevel="0" max="16" min="16" style="0" width="4"/>
    <col collapsed="false" customWidth="true" hidden="false" outlineLevel="0" max="17" min="17" style="0" width="5.86"/>
    <col collapsed="false" customWidth="true" hidden="false" outlineLevel="0" max="18" min="18" style="0" width="3.29"/>
    <col collapsed="false" customWidth="true" hidden="false" outlineLevel="0" max="19" min="19" style="0" width="7.29"/>
    <col collapsed="false" customWidth="true" hidden="false" outlineLevel="0" max="20" min="20" style="0" width="3.29"/>
    <col collapsed="false" customWidth="true" hidden="false" outlineLevel="0" max="21" min="21" style="0" width="5.86"/>
    <col collapsed="false" customWidth="true" hidden="false" outlineLevel="0" max="22" min="22" style="0" width="3.29"/>
    <col collapsed="false" customWidth="true" hidden="false" outlineLevel="0" max="23" min="23" style="0" width="5.86"/>
    <col collapsed="false" customWidth="true" hidden="false" outlineLevel="0" max="24" min="24" style="0" width="3.29"/>
    <col collapsed="false" customWidth="true" hidden="false" outlineLevel="0" max="25" min="25" style="0" width="5.86"/>
    <col collapsed="false" customWidth="true" hidden="false" outlineLevel="0" max="26" min="26" style="0" width="3.29"/>
    <col collapsed="false" customWidth="true" hidden="false" outlineLevel="0" max="27" min="27" style="0" width="5.86"/>
    <col collapsed="false" customWidth="true" hidden="false" outlineLevel="0" max="28" min="28" style="0" width="3.29"/>
    <col collapsed="false" customWidth="true" hidden="false" outlineLevel="0" max="29" min="29" style="0" width="5.86"/>
    <col collapsed="false" customWidth="true" hidden="false" outlineLevel="0" max="30" min="30" style="0" width="3.29"/>
    <col collapsed="false" customWidth="true" hidden="false" outlineLevel="0" max="31" min="31" style="0" width="5.86"/>
    <col collapsed="false" customWidth="true" hidden="false" outlineLevel="0" max="32" min="32" style="0" width="3.29"/>
    <col collapsed="false" customWidth="true" hidden="false" outlineLevel="0" max="33" min="33" style="0" width="5.86"/>
    <col collapsed="false" customWidth="true" hidden="false" outlineLevel="0" max="34" min="34" style="0" width="3.29"/>
    <col collapsed="false" customWidth="true" hidden="false" outlineLevel="0" max="35" min="35" style="0" width="5.86"/>
    <col collapsed="false" customWidth="true" hidden="false" outlineLevel="0" max="36" min="36" style="0" width="3.29"/>
    <col collapsed="false" customWidth="true" hidden="false" outlineLevel="0" max="37" min="37" style="0" width="5.86"/>
    <col collapsed="false" customWidth="true" hidden="false" outlineLevel="0" max="38" min="38" style="0" width="3.29"/>
    <col collapsed="false" customWidth="true" hidden="false" outlineLevel="0" max="39" min="39" style="0" width="5.86"/>
    <col collapsed="false" customWidth="true" hidden="false" outlineLevel="0" max="40" min="40" style="0" width="3.29"/>
    <col collapsed="false" customWidth="true" hidden="false" outlineLevel="0" max="41" min="41" style="0" width="5.86"/>
    <col collapsed="false" customWidth="true" hidden="false" outlineLevel="0" max="42" min="42" style="0" width="3.29"/>
    <col collapsed="false" customWidth="true" hidden="false" outlineLevel="0" max="43" min="43" style="0" width="5.86"/>
    <col collapsed="false" customWidth="true" hidden="false" outlineLevel="0" max="44" min="44" style="0" width="3.29"/>
    <col collapsed="false" customWidth="true" hidden="false" outlineLevel="0" max="45" min="45" style="0" width="5.86"/>
    <col collapsed="false" customWidth="true" hidden="false" outlineLevel="0" max="46" min="46" style="0" width="3.29"/>
    <col collapsed="false" customWidth="true" hidden="false" outlineLevel="0" max="47" min="47" style="0" width="5.86"/>
    <col collapsed="false" customWidth="true" hidden="false" outlineLevel="0" max="48" min="48" style="0" width="3.29"/>
    <col collapsed="false" customWidth="true" hidden="false" outlineLevel="0" max="49" min="49" style="0" width="5.86"/>
    <col collapsed="false" customWidth="true" hidden="false" outlineLevel="0" max="50" min="50" style="0" width="3.29"/>
    <col collapsed="false" customWidth="true" hidden="false" outlineLevel="0" max="51" min="51" style="0" width="5.86"/>
  </cols>
  <sheetData>
    <row r="1" customFormat="false" ht="22.05" hidden="false" customHeight="false" outlineLevel="0" collapsed="false">
      <c r="B1" s="5"/>
      <c r="C1" s="6" t="s">
        <v>0</v>
      </c>
      <c r="D1" s="7"/>
      <c r="E1" s="5"/>
      <c r="F1" s="6" t="str">
        <f aca="false">C1</f>
        <v>CARDÁPIO 28/07/2026</v>
      </c>
      <c r="G1" s="7"/>
    </row>
    <row r="2" customFormat="false" ht="18.75" hidden="false" customHeight="true" outlineLevel="0" collapsed="false">
      <c r="A2" s="8" t="s">
        <v>1</v>
      </c>
      <c r="B2" s="9" t="s">
        <v>2</v>
      </c>
      <c r="C2" s="10" t="s">
        <v>3</v>
      </c>
      <c r="D2" s="11" t="s">
        <v>4</v>
      </c>
      <c r="E2" s="12" t="str">
        <f aca="false">B2</f>
        <v>CÓD</v>
      </c>
      <c r="F2" s="13" t="str">
        <f aca="false">C2</f>
        <v>ITENS</v>
      </c>
      <c r="G2" s="14" t="str">
        <f aca="false">D2</f>
        <v>R$</v>
      </c>
      <c r="H2" s="15" t="s">
        <v>5</v>
      </c>
      <c r="I2" s="15"/>
      <c r="J2" s="15" t="s">
        <v>6</v>
      </c>
      <c r="K2" s="15"/>
      <c r="L2" s="15" t="s">
        <v>7</v>
      </c>
      <c r="M2" s="15"/>
      <c r="N2" s="16" t="s">
        <v>8</v>
      </c>
      <c r="O2" s="16"/>
      <c r="P2" s="16" t="s">
        <v>9</v>
      </c>
      <c r="Q2" s="16"/>
      <c r="R2" s="16" t="s">
        <v>10</v>
      </c>
      <c r="S2" s="16"/>
      <c r="T2" s="15" t="n">
        <v>10</v>
      </c>
      <c r="U2" s="15"/>
      <c r="V2" s="15" t="n">
        <v>11</v>
      </c>
      <c r="W2" s="15"/>
      <c r="X2" s="15" t="n">
        <v>12</v>
      </c>
      <c r="Y2" s="15"/>
      <c r="Z2" s="15" t="n">
        <v>13</v>
      </c>
      <c r="AA2" s="15"/>
      <c r="AB2" s="17" t="n">
        <v>14</v>
      </c>
      <c r="AC2" s="17"/>
      <c r="AD2" s="18" t="n">
        <v>15</v>
      </c>
      <c r="AE2" s="18"/>
      <c r="AF2" s="18" t="n">
        <v>16</v>
      </c>
      <c r="AG2" s="18"/>
      <c r="AH2" s="18" t="n">
        <v>17</v>
      </c>
      <c r="AI2" s="18"/>
      <c r="AJ2" s="18" t="n">
        <v>18</v>
      </c>
      <c r="AK2" s="18"/>
      <c r="AL2" s="18" t="n">
        <v>19</v>
      </c>
      <c r="AM2" s="18"/>
      <c r="AN2" s="18" t="n">
        <v>20</v>
      </c>
      <c r="AO2" s="18"/>
      <c r="AP2" s="18" t="n">
        <v>21</v>
      </c>
      <c r="AQ2" s="18"/>
      <c r="AR2" s="18" t="n">
        <v>22</v>
      </c>
      <c r="AS2" s="18"/>
      <c r="AT2" s="18" t="n">
        <v>24</v>
      </c>
      <c r="AU2" s="18"/>
      <c r="AV2" s="18" t="n">
        <v>25</v>
      </c>
      <c r="AW2" s="18"/>
      <c r="AX2" s="18" t="n">
        <v>26</v>
      </c>
      <c r="AY2" s="18"/>
      <c r="AZ2" s="19" t="s">
        <v>11</v>
      </c>
      <c r="BA2" s="18"/>
    </row>
    <row r="3" customFormat="false" ht="18" hidden="false" customHeight="true" outlineLevel="0" collapsed="false">
      <c r="A3" s="0" t="s">
        <v>12</v>
      </c>
      <c r="B3" s="20"/>
      <c r="C3" s="21" t="s">
        <v>13</v>
      </c>
      <c r="D3" s="22"/>
      <c r="E3" s="23"/>
      <c r="F3" s="24" t="str">
        <f aca="false">C3</f>
        <v>PETISCOS (Produção Própria)</v>
      </c>
      <c r="G3" s="25"/>
      <c r="H3" s="26"/>
      <c r="I3" s="27"/>
      <c r="J3" s="26"/>
      <c r="K3" s="27"/>
      <c r="L3" s="26"/>
      <c r="M3" s="27"/>
      <c r="N3" s="28"/>
      <c r="O3" s="27"/>
      <c r="P3" s="28"/>
      <c r="Q3" s="27"/>
      <c r="R3" s="28"/>
      <c r="S3" s="27"/>
      <c r="T3" s="28"/>
      <c r="U3" s="27"/>
      <c r="V3" s="28"/>
      <c r="W3" s="27"/>
      <c r="X3" s="28"/>
      <c r="Y3" s="27"/>
      <c r="Z3" s="29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</row>
    <row r="4" customFormat="false" ht="18" hidden="false" customHeight="true" outlineLevel="0" collapsed="false">
      <c r="A4" s="0" t="s">
        <v>12</v>
      </c>
      <c r="B4" s="31" t="n">
        <v>23</v>
      </c>
      <c r="C4" s="32" t="s">
        <v>14</v>
      </c>
      <c r="D4" s="33" t="n">
        <v>40</v>
      </c>
      <c r="E4" s="34" t="n">
        <f aca="false">B4</f>
        <v>23</v>
      </c>
      <c r="F4" s="35" t="str">
        <f aca="false">C4</f>
        <v>Bolinho de Bacalhau (06 unidades)</v>
      </c>
      <c r="G4" s="36" t="n">
        <f aca="false">D4</f>
        <v>40</v>
      </c>
      <c r="H4" s="37"/>
      <c r="I4" s="38" t="n">
        <f aca="false">$D4*H4</f>
        <v>0</v>
      </c>
      <c r="J4" s="39"/>
      <c r="K4" s="38" t="n">
        <f aca="false">$D4*J4</f>
        <v>0</v>
      </c>
      <c r="L4" s="39"/>
      <c r="M4" s="38" t="n">
        <f aca="false">$D4*L4</f>
        <v>0</v>
      </c>
      <c r="N4" s="40"/>
      <c r="O4" s="38" t="n">
        <f aca="false">$D4*N4</f>
        <v>0</v>
      </c>
      <c r="P4" s="40"/>
      <c r="Q4" s="38" t="n">
        <f aca="false">$D4*P4</f>
        <v>0</v>
      </c>
      <c r="R4" s="40"/>
      <c r="S4" s="38" t="n">
        <f aca="false">$D4*R4</f>
        <v>0</v>
      </c>
      <c r="T4" s="40"/>
      <c r="U4" s="38" t="n">
        <f aca="false">$D4*T4</f>
        <v>0</v>
      </c>
      <c r="V4" s="40"/>
      <c r="W4" s="38" t="n">
        <f aca="false">$D4*V4</f>
        <v>0</v>
      </c>
      <c r="X4" s="40"/>
      <c r="Y4" s="38" t="n">
        <f aca="false">$D4*X4</f>
        <v>0</v>
      </c>
      <c r="Z4" s="41"/>
      <c r="AA4" s="42" t="n">
        <f aca="false">$D4*Z4</f>
        <v>0</v>
      </c>
      <c r="AB4" s="43"/>
      <c r="AC4" s="42" t="n">
        <f aca="false">$D4*AB4</f>
        <v>0</v>
      </c>
      <c r="AD4" s="43"/>
      <c r="AE4" s="42" t="n">
        <f aca="false">$D4*AD4</f>
        <v>0</v>
      </c>
      <c r="AF4" s="43"/>
      <c r="AG4" s="42" t="n">
        <f aca="false">$D4*AF4</f>
        <v>0</v>
      </c>
      <c r="AH4" s="43"/>
      <c r="AI4" s="42" t="n">
        <f aca="false">$D4*AH4</f>
        <v>0</v>
      </c>
      <c r="AJ4" s="43"/>
      <c r="AK4" s="42" t="n">
        <f aca="false">$D4*AJ4</f>
        <v>0</v>
      </c>
      <c r="AL4" s="43"/>
      <c r="AM4" s="42" t="n">
        <f aca="false">$D4*AL4</f>
        <v>0</v>
      </c>
      <c r="AN4" s="43"/>
      <c r="AO4" s="42" t="n">
        <f aca="false">$D4*AN4</f>
        <v>0</v>
      </c>
      <c r="AP4" s="43"/>
      <c r="AQ4" s="42" t="n">
        <f aca="false">$D4*AP4</f>
        <v>0</v>
      </c>
      <c r="AR4" s="43"/>
      <c r="AS4" s="42" t="n">
        <f aca="false">$D4*AR4</f>
        <v>0</v>
      </c>
      <c r="AT4" s="43"/>
      <c r="AU4" s="42" t="n">
        <f aca="false">$D4*AT4</f>
        <v>0</v>
      </c>
      <c r="AV4" s="43"/>
      <c r="AW4" s="42" t="n">
        <f aca="false">$D4*AV4</f>
        <v>0</v>
      </c>
      <c r="AX4" s="43"/>
      <c r="AY4" s="42" t="n">
        <f aca="false">$D4*AX4</f>
        <v>0</v>
      </c>
      <c r="AZ4" s="44" t="n">
        <f aca="false">H4+J4+L4+N4+P4+R4+T4+V4+X4+Z4+AB4+AD4+AF4+AH4+AJ4+AL4+AN4+AP4+AR4+AT4+AV4+AX4</f>
        <v>0</v>
      </c>
      <c r="BA4" s="42" t="n">
        <f aca="false">$D4*AZ4</f>
        <v>0</v>
      </c>
    </row>
    <row r="5" customFormat="false" ht="16.5" hidden="true" customHeight="true" outlineLevel="0" collapsed="false">
      <c r="A5" s="0" t="s">
        <v>15</v>
      </c>
      <c r="B5" s="45" t="n">
        <v>38</v>
      </c>
      <c r="C5" s="35" t="s">
        <v>16</v>
      </c>
      <c r="D5" s="36" t="n">
        <v>12</v>
      </c>
      <c r="E5" s="34" t="n">
        <f aca="false">B5</f>
        <v>38</v>
      </c>
      <c r="F5" s="35" t="str">
        <f aca="false">C5</f>
        <v>Caldinho de Camarão</v>
      </c>
      <c r="G5" s="36" t="n">
        <f aca="false">D5</f>
        <v>12</v>
      </c>
      <c r="H5" s="37"/>
      <c r="I5" s="38" t="n">
        <f aca="false">$D5*H5</f>
        <v>0</v>
      </c>
      <c r="J5" s="39"/>
      <c r="K5" s="38" t="n">
        <f aca="false">$D5*J5</f>
        <v>0</v>
      </c>
      <c r="L5" s="39"/>
      <c r="M5" s="38" t="n">
        <f aca="false">$D5*L5</f>
        <v>0</v>
      </c>
      <c r="N5" s="40"/>
      <c r="O5" s="38" t="n">
        <f aca="false">$D5*N5</f>
        <v>0</v>
      </c>
      <c r="P5" s="40"/>
      <c r="Q5" s="38" t="n">
        <f aca="false">$D5*P5</f>
        <v>0</v>
      </c>
      <c r="R5" s="40"/>
      <c r="S5" s="38" t="n">
        <f aca="false">$D5*R5</f>
        <v>0</v>
      </c>
      <c r="T5" s="40"/>
      <c r="U5" s="38" t="n">
        <f aca="false">$D5*T5</f>
        <v>0</v>
      </c>
      <c r="V5" s="40"/>
      <c r="W5" s="38" t="n">
        <f aca="false">$D5*V5</f>
        <v>0</v>
      </c>
      <c r="X5" s="40"/>
      <c r="Y5" s="38" t="n">
        <f aca="false">$D5*X5</f>
        <v>0</v>
      </c>
      <c r="Z5" s="41"/>
      <c r="AA5" s="42" t="n">
        <f aca="false">$D5*Z5</f>
        <v>0</v>
      </c>
      <c r="AB5" s="43"/>
      <c r="AC5" s="42" t="n">
        <f aca="false">$D5*AB5</f>
        <v>0</v>
      </c>
      <c r="AD5" s="43"/>
      <c r="AE5" s="42" t="n">
        <f aca="false">$D5*AD5</f>
        <v>0</v>
      </c>
      <c r="AF5" s="43"/>
      <c r="AG5" s="42" t="n">
        <f aca="false">$D5*AF5</f>
        <v>0</v>
      </c>
      <c r="AH5" s="43"/>
      <c r="AI5" s="42" t="n">
        <f aca="false">$D5*AH5</f>
        <v>0</v>
      </c>
      <c r="AJ5" s="43"/>
      <c r="AK5" s="42" t="n">
        <f aca="false">$D5*AJ5</f>
        <v>0</v>
      </c>
      <c r="AL5" s="43"/>
      <c r="AM5" s="42" t="n">
        <f aca="false">$D5*AL5</f>
        <v>0</v>
      </c>
      <c r="AN5" s="43"/>
      <c r="AO5" s="42" t="n">
        <f aca="false">$D5*AN5</f>
        <v>0</v>
      </c>
      <c r="AP5" s="43"/>
      <c r="AQ5" s="42" t="n">
        <f aca="false">$D5*AP5</f>
        <v>0</v>
      </c>
      <c r="AR5" s="43"/>
      <c r="AS5" s="42" t="n">
        <f aca="false">$D5*AR5</f>
        <v>0</v>
      </c>
      <c r="AT5" s="43"/>
      <c r="AU5" s="42" t="n">
        <f aca="false">$D5*AT5</f>
        <v>0</v>
      </c>
      <c r="AV5" s="43"/>
      <c r="AW5" s="42" t="n">
        <f aca="false">$D5*AV5</f>
        <v>0</v>
      </c>
      <c r="AX5" s="43"/>
      <c r="AY5" s="42" t="n">
        <f aca="false">$D5*AX5</f>
        <v>0</v>
      </c>
      <c r="AZ5" s="44" t="n">
        <f aca="false">H5+J5+L5+N5+P5+R5+T5+V5+X5+Z5+AB5+AD5+AF5+AH5+AJ5+AL5+AN5+AP5+AR5+AT5+AV5+AX5</f>
        <v>0</v>
      </c>
      <c r="BA5" s="42" t="n">
        <f aca="false">$D5*AZ5</f>
        <v>0</v>
      </c>
    </row>
    <row r="6" customFormat="false" ht="16.5" hidden="true" customHeight="true" outlineLevel="0" collapsed="false">
      <c r="A6" s="0" t="s">
        <v>15</v>
      </c>
      <c r="B6" s="46" t="n">
        <v>27</v>
      </c>
      <c r="C6" s="47" t="s">
        <v>17</v>
      </c>
      <c r="D6" s="48" t="n">
        <v>10</v>
      </c>
      <c r="E6" s="34" t="n">
        <f aca="false">B6</f>
        <v>27</v>
      </c>
      <c r="F6" s="35" t="str">
        <f aca="false">C6</f>
        <v>Caldinho de Feijão</v>
      </c>
      <c r="G6" s="36" t="n">
        <f aca="false">D6</f>
        <v>10</v>
      </c>
      <c r="H6" s="37"/>
      <c r="I6" s="38" t="n">
        <f aca="false">$D6*H6</f>
        <v>0</v>
      </c>
      <c r="J6" s="39"/>
      <c r="K6" s="38" t="n">
        <f aca="false">$D6*J6</f>
        <v>0</v>
      </c>
      <c r="L6" s="39"/>
      <c r="M6" s="38" t="n">
        <f aca="false">$D6*L6</f>
        <v>0</v>
      </c>
      <c r="N6" s="40"/>
      <c r="O6" s="38" t="n">
        <f aca="false">$D6*N6</f>
        <v>0</v>
      </c>
      <c r="P6" s="40"/>
      <c r="Q6" s="38" t="n">
        <f aca="false">$D6*P6</f>
        <v>0</v>
      </c>
      <c r="R6" s="40"/>
      <c r="S6" s="38" t="n">
        <f aca="false">$D6*R6</f>
        <v>0</v>
      </c>
      <c r="T6" s="40"/>
      <c r="U6" s="38" t="n">
        <f aca="false">$D6*T6</f>
        <v>0</v>
      </c>
      <c r="V6" s="40"/>
      <c r="W6" s="38" t="n">
        <f aca="false">$D6*V6</f>
        <v>0</v>
      </c>
      <c r="X6" s="40"/>
      <c r="Y6" s="38" t="n">
        <f aca="false">$D6*X6</f>
        <v>0</v>
      </c>
      <c r="Z6" s="41"/>
      <c r="AA6" s="42" t="n">
        <f aca="false">$D6*Z6</f>
        <v>0</v>
      </c>
      <c r="AB6" s="43"/>
      <c r="AC6" s="42" t="n">
        <f aca="false">$D6*AB6</f>
        <v>0</v>
      </c>
      <c r="AD6" s="43"/>
      <c r="AE6" s="42" t="n">
        <f aca="false">$D6*AD6</f>
        <v>0</v>
      </c>
      <c r="AF6" s="43"/>
      <c r="AG6" s="42" t="n">
        <f aca="false">$D6*AF6</f>
        <v>0</v>
      </c>
      <c r="AH6" s="43"/>
      <c r="AI6" s="42" t="n">
        <f aca="false">$D6*AH6</f>
        <v>0</v>
      </c>
      <c r="AJ6" s="43"/>
      <c r="AK6" s="42" t="n">
        <f aca="false">$D6*AJ6</f>
        <v>0</v>
      </c>
      <c r="AL6" s="43"/>
      <c r="AM6" s="42" t="n">
        <f aca="false">$D6*AL6</f>
        <v>0</v>
      </c>
      <c r="AN6" s="43"/>
      <c r="AO6" s="42" t="n">
        <f aca="false">$D6*AN6</f>
        <v>0</v>
      </c>
      <c r="AP6" s="43"/>
      <c r="AQ6" s="42" t="n">
        <f aca="false">$D6*AP6</f>
        <v>0</v>
      </c>
      <c r="AR6" s="43"/>
      <c r="AS6" s="42" t="n">
        <f aca="false">$D6*AR6</f>
        <v>0</v>
      </c>
      <c r="AT6" s="43"/>
      <c r="AU6" s="42" t="n">
        <f aca="false">$D6*AT6</f>
        <v>0</v>
      </c>
      <c r="AV6" s="43"/>
      <c r="AW6" s="42" t="n">
        <f aca="false">$D6*AV6</f>
        <v>0</v>
      </c>
      <c r="AX6" s="43"/>
      <c r="AY6" s="42" t="n">
        <f aca="false">$D6*AX6</f>
        <v>0</v>
      </c>
      <c r="AZ6" s="44" t="n">
        <f aca="false">H6+J6+L6+N6+P6+R6+T6+V6+X6+Z6+AB6+AD6+AF6+AH6+AJ6+AL6+AN6+AP6+AR6+AT6+AV6+AX6</f>
        <v>0</v>
      </c>
      <c r="BA6" s="42" t="n">
        <f aca="false">$D6*AZ6</f>
        <v>0</v>
      </c>
    </row>
    <row r="7" customFormat="false" ht="18" hidden="false" customHeight="true" outlineLevel="0" collapsed="false">
      <c r="A7" s="0" t="s">
        <v>12</v>
      </c>
      <c r="B7" s="49" t="n">
        <v>44</v>
      </c>
      <c r="C7" s="50" t="s">
        <v>18</v>
      </c>
      <c r="D7" s="51" t="n">
        <v>50</v>
      </c>
      <c r="E7" s="34" t="n">
        <f aca="false">B7</f>
        <v>44</v>
      </c>
      <c r="F7" s="35" t="str">
        <f aca="false">C7</f>
        <v>Camarão Empanado (08 unidades)</v>
      </c>
      <c r="G7" s="36" t="n">
        <f aca="false">D7</f>
        <v>50</v>
      </c>
      <c r="H7" s="37"/>
      <c r="I7" s="38" t="n">
        <f aca="false">$D7*H7</f>
        <v>0</v>
      </c>
      <c r="J7" s="39"/>
      <c r="K7" s="38" t="n">
        <f aca="false">$D7*J7</f>
        <v>0</v>
      </c>
      <c r="L7" s="39"/>
      <c r="M7" s="38" t="n">
        <f aca="false">$D7*L7</f>
        <v>0</v>
      </c>
      <c r="N7" s="40"/>
      <c r="O7" s="38" t="n">
        <f aca="false">$D7*N7</f>
        <v>0</v>
      </c>
      <c r="P7" s="40"/>
      <c r="Q7" s="38" t="n">
        <f aca="false">$D7*P7</f>
        <v>0</v>
      </c>
      <c r="R7" s="40"/>
      <c r="S7" s="38" t="n">
        <f aca="false">$D7*R7</f>
        <v>0</v>
      </c>
      <c r="T7" s="40"/>
      <c r="U7" s="38" t="n">
        <f aca="false">$D7*T7</f>
        <v>0</v>
      </c>
      <c r="V7" s="40"/>
      <c r="W7" s="38" t="n">
        <f aca="false">$D7*V7</f>
        <v>0</v>
      </c>
      <c r="X7" s="40"/>
      <c r="Y7" s="38" t="n">
        <f aca="false">$D7*X7</f>
        <v>0</v>
      </c>
      <c r="Z7" s="41"/>
      <c r="AA7" s="42" t="n">
        <f aca="false">$D7*Z7</f>
        <v>0</v>
      </c>
      <c r="AB7" s="43"/>
      <c r="AC7" s="42" t="n">
        <f aca="false">$D7*AB7</f>
        <v>0</v>
      </c>
      <c r="AD7" s="43"/>
      <c r="AE7" s="42" t="n">
        <f aca="false">$D7*AD7</f>
        <v>0</v>
      </c>
      <c r="AF7" s="43"/>
      <c r="AG7" s="42" t="n">
        <f aca="false">$D7*AF7</f>
        <v>0</v>
      </c>
      <c r="AH7" s="43"/>
      <c r="AI7" s="42" t="n">
        <f aca="false">$D7*AH7</f>
        <v>0</v>
      </c>
      <c r="AJ7" s="43"/>
      <c r="AK7" s="42" t="n">
        <f aca="false">$D7*AJ7</f>
        <v>0</v>
      </c>
      <c r="AL7" s="43"/>
      <c r="AM7" s="42" t="n">
        <f aca="false">$D7*AL7</f>
        <v>0</v>
      </c>
      <c r="AN7" s="43"/>
      <c r="AO7" s="42" t="n">
        <f aca="false">$D7*AN7</f>
        <v>0</v>
      </c>
      <c r="AP7" s="43"/>
      <c r="AQ7" s="42" t="n">
        <f aca="false">$D7*AP7</f>
        <v>0</v>
      </c>
      <c r="AR7" s="43"/>
      <c r="AS7" s="42" t="n">
        <f aca="false">$D7*AR7</f>
        <v>0</v>
      </c>
      <c r="AT7" s="43"/>
      <c r="AU7" s="42" t="n">
        <f aca="false">$D7*AT7</f>
        <v>0</v>
      </c>
      <c r="AV7" s="43"/>
      <c r="AW7" s="42" t="n">
        <f aca="false">$D7*AV7</f>
        <v>0</v>
      </c>
      <c r="AX7" s="43"/>
      <c r="AY7" s="42" t="n">
        <f aca="false">$D7*AX7</f>
        <v>0</v>
      </c>
      <c r="AZ7" s="44" t="n">
        <f aca="false">H7+J7+L7+N7+P7+R7+T7+V7+X7+Z7+AB7+AD7+AF7+AH7+AJ7+AL7+AN7+AP7+AR7+AT7+AV7+AX7</f>
        <v>0</v>
      </c>
      <c r="BA7" s="42" t="n">
        <f aca="false">$D7*AZ7</f>
        <v>0</v>
      </c>
    </row>
    <row r="8" customFormat="false" ht="18" hidden="false" customHeight="true" outlineLevel="0" collapsed="false">
      <c r="A8" s="0" t="s">
        <v>12</v>
      </c>
      <c r="B8" s="49" t="n">
        <v>45</v>
      </c>
      <c r="C8" s="50" t="s">
        <v>19</v>
      </c>
      <c r="D8" s="51" t="n">
        <v>40</v>
      </c>
      <c r="E8" s="34" t="n">
        <f aca="false">B8</f>
        <v>45</v>
      </c>
      <c r="F8" s="35" t="str">
        <f aca="false">C8</f>
        <v>Camarão Frito c/ Arroz e Farofa</v>
      </c>
      <c r="G8" s="36" t="n">
        <f aca="false">D8</f>
        <v>40</v>
      </c>
      <c r="H8" s="37"/>
      <c r="I8" s="38" t="n">
        <f aca="false">$D8*H8</f>
        <v>0</v>
      </c>
      <c r="J8" s="39"/>
      <c r="K8" s="38" t="n">
        <f aca="false">$D8*J8</f>
        <v>0</v>
      </c>
      <c r="L8" s="39"/>
      <c r="M8" s="38" t="n">
        <f aca="false">$D8*L8</f>
        <v>0</v>
      </c>
      <c r="N8" s="40"/>
      <c r="O8" s="38" t="n">
        <f aca="false">$D8*N8</f>
        <v>0</v>
      </c>
      <c r="P8" s="40"/>
      <c r="Q8" s="38" t="n">
        <f aca="false">$D8*P8</f>
        <v>0</v>
      </c>
      <c r="R8" s="40"/>
      <c r="S8" s="38" t="n">
        <f aca="false">$D8*R8</f>
        <v>0</v>
      </c>
      <c r="T8" s="40"/>
      <c r="U8" s="38" t="n">
        <f aca="false">$D8*T8</f>
        <v>0</v>
      </c>
      <c r="V8" s="40"/>
      <c r="W8" s="38" t="n">
        <f aca="false">$D8*V8</f>
        <v>0</v>
      </c>
      <c r="X8" s="40"/>
      <c r="Y8" s="38" t="n">
        <f aca="false">$D8*X8</f>
        <v>0</v>
      </c>
      <c r="Z8" s="41"/>
      <c r="AA8" s="42" t="n">
        <f aca="false">$D8*Z8</f>
        <v>0</v>
      </c>
      <c r="AB8" s="43"/>
      <c r="AC8" s="42" t="n">
        <f aca="false">$D8*AB8</f>
        <v>0</v>
      </c>
      <c r="AD8" s="43"/>
      <c r="AE8" s="42" t="n">
        <f aca="false">$D8*AD8</f>
        <v>0</v>
      </c>
      <c r="AF8" s="43"/>
      <c r="AG8" s="42" t="n">
        <f aca="false">$D8*AF8</f>
        <v>0</v>
      </c>
      <c r="AH8" s="43"/>
      <c r="AI8" s="42" t="n">
        <f aca="false">$D8*AH8</f>
        <v>0</v>
      </c>
      <c r="AJ8" s="43"/>
      <c r="AK8" s="42" t="n">
        <f aca="false">$D8*AJ8</f>
        <v>0</v>
      </c>
      <c r="AL8" s="43"/>
      <c r="AM8" s="42" t="n">
        <f aca="false">$D8*AL8</f>
        <v>0</v>
      </c>
      <c r="AN8" s="43"/>
      <c r="AO8" s="42" t="n">
        <f aca="false">$D8*AN8</f>
        <v>0</v>
      </c>
      <c r="AP8" s="43"/>
      <c r="AQ8" s="42" t="n">
        <f aca="false">$D8*AP8</f>
        <v>0</v>
      </c>
      <c r="AR8" s="43"/>
      <c r="AS8" s="42" t="n">
        <f aca="false">$D8*AR8</f>
        <v>0</v>
      </c>
      <c r="AT8" s="43"/>
      <c r="AU8" s="42" t="n">
        <f aca="false">$D8*AT8</f>
        <v>0</v>
      </c>
      <c r="AV8" s="43"/>
      <c r="AW8" s="42" t="n">
        <f aca="false">$D8*AV8</f>
        <v>0</v>
      </c>
      <c r="AX8" s="43"/>
      <c r="AY8" s="42" t="n">
        <f aca="false">$D8*AX8</f>
        <v>0</v>
      </c>
      <c r="AZ8" s="44" t="n">
        <f aca="false">H8+J8+L8+N8+P8+R8+T8+V8+X8+Z8+AB8+AD8+AF8+AH8+AJ8+AL8+AN8+AP8+AR8+AT8+AV8+AX8</f>
        <v>0</v>
      </c>
      <c r="BA8" s="42" t="n">
        <f aca="false">$D8*AZ8</f>
        <v>0</v>
      </c>
    </row>
    <row r="9" customFormat="false" ht="16.5" hidden="true" customHeight="true" outlineLevel="0" collapsed="false">
      <c r="A9" s="0" t="s">
        <v>15</v>
      </c>
      <c r="B9" s="45" t="n">
        <v>55</v>
      </c>
      <c r="C9" s="35" t="s">
        <v>20</v>
      </c>
      <c r="D9" s="36" t="n">
        <v>40</v>
      </c>
      <c r="E9" s="34" t="n">
        <f aca="false">B9</f>
        <v>55</v>
      </c>
      <c r="F9" s="35" t="str">
        <f aca="false">C9</f>
        <v>Carne de Sol Defumada c/farofa e macaxeira</v>
      </c>
      <c r="G9" s="36" t="n">
        <f aca="false">D9</f>
        <v>40</v>
      </c>
      <c r="H9" s="37"/>
      <c r="I9" s="38" t="n">
        <f aca="false">$D9*H9</f>
        <v>0</v>
      </c>
      <c r="J9" s="39"/>
      <c r="K9" s="38" t="n">
        <f aca="false">$D9*J9</f>
        <v>0</v>
      </c>
      <c r="L9" s="39"/>
      <c r="M9" s="38" t="n">
        <f aca="false">$D9*L9</f>
        <v>0</v>
      </c>
      <c r="N9" s="40"/>
      <c r="O9" s="38" t="n">
        <f aca="false">$D9*N9</f>
        <v>0</v>
      </c>
      <c r="P9" s="40"/>
      <c r="Q9" s="38" t="n">
        <f aca="false">$D9*P9</f>
        <v>0</v>
      </c>
      <c r="R9" s="40"/>
      <c r="S9" s="38" t="n">
        <f aca="false">$D9*R9</f>
        <v>0</v>
      </c>
      <c r="T9" s="40"/>
      <c r="U9" s="38" t="n">
        <f aca="false">$D9*T9</f>
        <v>0</v>
      </c>
      <c r="V9" s="40"/>
      <c r="W9" s="38" t="n">
        <f aca="false">$D9*V9</f>
        <v>0</v>
      </c>
      <c r="X9" s="40"/>
      <c r="Y9" s="38" t="n">
        <f aca="false">$D9*X9</f>
        <v>0</v>
      </c>
      <c r="Z9" s="41"/>
      <c r="AA9" s="42" t="n">
        <f aca="false">$D9*Z9</f>
        <v>0</v>
      </c>
      <c r="AB9" s="43"/>
      <c r="AC9" s="42" t="n">
        <f aca="false">$D9*AB9</f>
        <v>0</v>
      </c>
      <c r="AD9" s="43"/>
      <c r="AE9" s="42" t="n">
        <f aca="false">$D9*AD9</f>
        <v>0</v>
      </c>
      <c r="AF9" s="43"/>
      <c r="AG9" s="42" t="n">
        <f aca="false">$D9*AF9</f>
        <v>0</v>
      </c>
      <c r="AH9" s="43"/>
      <c r="AI9" s="42" t="n">
        <f aca="false">$D9*AH9</f>
        <v>0</v>
      </c>
      <c r="AJ9" s="43"/>
      <c r="AK9" s="42" t="n">
        <f aca="false">$D9*AJ9</f>
        <v>0</v>
      </c>
      <c r="AL9" s="43"/>
      <c r="AM9" s="42" t="n">
        <f aca="false">$D9*AL9</f>
        <v>0</v>
      </c>
      <c r="AN9" s="43"/>
      <c r="AO9" s="42" t="n">
        <f aca="false">$D9*AN9</f>
        <v>0</v>
      </c>
      <c r="AP9" s="43"/>
      <c r="AQ9" s="42" t="n">
        <f aca="false">$D9*AP9</f>
        <v>0</v>
      </c>
      <c r="AR9" s="43"/>
      <c r="AS9" s="42" t="n">
        <f aca="false">$D9*AR9</f>
        <v>0</v>
      </c>
      <c r="AT9" s="43"/>
      <c r="AU9" s="42" t="n">
        <f aca="false">$D9*AT9</f>
        <v>0</v>
      </c>
      <c r="AV9" s="43"/>
      <c r="AW9" s="42" t="n">
        <f aca="false">$D9*AV9</f>
        <v>0</v>
      </c>
      <c r="AX9" s="43"/>
      <c r="AY9" s="42" t="n">
        <f aca="false">$D9*AX9</f>
        <v>0</v>
      </c>
      <c r="AZ9" s="44" t="n">
        <f aca="false">H9+J9+L9+N9+P9+R9+T9+V9+X9+Z9+AB9+AD9+AF9+AH9+AJ9+AL9+AN9+AP9+AR9+AT9+AV9+AX9</f>
        <v>0</v>
      </c>
      <c r="BA9" s="42" t="n">
        <f aca="false">$D9*AZ9</f>
        <v>0</v>
      </c>
    </row>
    <row r="10" customFormat="false" ht="16.5" hidden="true" customHeight="true" outlineLevel="0" collapsed="false">
      <c r="A10" s="0" t="s">
        <v>15</v>
      </c>
      <c r="B10" s="52" t="n">
        <v>41</v>
      </c>
      <c r="C10" s="53" t="s">
        <v>21</v>
      </c>
      <c r="D10" s="54" t="n">
        <v>30</v>
      </c>
      <c r="E10" s="34" t="n">
        <f aca="false">B10</f>
        <v>41</v>
      </c>
      <c r="F10" s="35" t="str">
        <f aca="false">C10</f>
        <v>Carne de Sol em Cubos na Manteiga de Garrafa</v>
      </c>
      <c r="G10" s="36" t="n">
        <f aca="false">D10</f>
        <v>30</v>
      </c>
      <c r="H10" s="37"/>
      <c r="I10" s="38" t="n">
        <f aca="false">$D10*H10</f>
        <v>0</v>
      </c>
      <c r="J10" s="39"/>
      <c r="K10" s="38" t="n">
        <f aca="false">$D10*J10</f>
        <v>0</v>
      </c>
      <c r="L10" s="39"/>
      <c r="M10" s="38" t="n">
        <f aca="false">$D10*L10</f>
        <v>0</v>
      </c>
      <c r="N10" s="40"/>
      <c r="O10" s="38" t="n">
        <f aca="false">$D10*N10</f>
        <v>0</v>
      </c>
      <c r="P10" s="40"/>
      <c r="Q10" s="38" t="n">
        <f aca="false">$D10*P10</f>
        <v>0</v>
      </c>
      <c r="R10" s="40"/>
      <c r="S10" s="38" t="n">
        <f aca="false">$D10*R10</f>
        <v>0</v>
      </c>
      <c r="T10" s="40"/>
      <c r="U10" s="38" t="n">
        <f aca="false">$D10*T10</f>
        <v>0</v>
      </c>
      <c r="V10" s="40"/>
      <c r="W10" s="38" t="n">
        <f aca="false">$D10*V10</f>
        <v>0</v>
      </c>
      <c r="X10" s="40"/>
      <c r="Y10" s="38" t="n">
        <f aca="false">$D10*X10</f>
        <v>0</v>
      </c>
      <c r="Z10" s="41"/>
      <c r="AA10" s="42" t="n">
        <f aca="false">$D10*Z10</f>
        <v>0</v>
      </c>
      <c r="AB10" s="43"/>
      <c r="AC10" s="42" t="n">
        <f aca="false">$D10*AB10</f>
        <v>0</v>
      </c>
      <c r="AD10" s="43"/>
      <c r="AE10" s="42" t="n">
        <f aca="false">$D10*AD10</f>
        <v>0</v>
      </c>
      <c r="AF10" s="43"/>
      <c r="AG10" s="42" t="n">
        <f aca="false">$D10*AF10</f>
        <v>0</v>
      </c>
      <c r="AH10" s="43"/>
      <c r="AI10" s="42" t="n">
        <f aca="false">$D10*AH10</f>
        <v>0</v>
      </c>
      <c r="AJ10" s="43"/>
      <c r="AK10" s="42" t="n">
        <f aca="false">$D10*AJ10</f>
        <v>0</v>
      </c>
      <c r="AL10" s="43"/>
      <c r="AM10" s="42" t="n">
        <f aca="false">$D10*AL10</f>
        <v>0</v>
      </c>
      <c r="AN10" s="43"/>
      <c r="AO10" s="42" t="n">
        <f aca="false">$D10*AN10</f>
        <v>0</v>
      </c>
      <c r="AP10" s="43"/>
      <c r="AQ10" s="42" t="n">
        <f aca="false">$D10*AP10</f>
        <v>0</v>
      </c>
      <c r="AR10" s="43"/>
      <c r="AS10" s="42" t="n">
        <f aca="false">$D10*AR10</f>
        <v>0</v>
      </c>
      <c r="AT10" s="43"/>
      <c r="AU10" s="42" t="n">
        <f aca="false">$D10*AT10</f>
        <v>0</v>
      </c>
      <c r="AV10" s="43"/>
      <c r="AW10" s="42" t="n">
        <f aca="false">$D10*AV10</f>
        <v>0</v>
      </c>
      <c r="AX10" s="43"/>
      <c r="AY10" s="42" t="n">
        <f aca="false">$D10*AX10</f>
        <v>0</v>
      </c>
      <c r="AZ10" s="44" t="n">
        <f aca="false">H10+J10+L10+N10+P10+R10+T10+V10+X10+Z10+AB10+AD10+AF10+AH10+AJ10+AL10+AN10+AP10+AR10+AT10+AV10+AX10</f>
        <v>0</v>
      </c>
      <c r="BA10" s="42" t="n">
        <f aca="false">$D10*AZ10</f>
        <v>0</v>
      </c>
    </row>
    <row r="11" customFormat="false" ht="16.5" hidden="true" customHeight="true" outlineLevel="0" collapsed="false">
      <c r="A11" s="0" t="s">
        <v>15</v>
      </c>
      <c r="B11" s="46" t="n">
        <v>42</v>
      </c>
      <c r="C11" s="47" t="s">
        <v>22</v>
      </c>
      <c r="D11" s="48" t="n">
        <v>30</v>
      </c>
      <c r="E11" s="34" t="n">
        <f aca="false">B11</f>
        <v>42</v>
      </c>
      <c r="F11" s="35" t="str">
        <f aca="false">C11</f>
        <v>Casquinho de Carangueijo c/ Farofa</v>
      </c>
      <c r="G11" s="36" t="n">
        <f aca="false">D11</f>
        <v>30</v>
      </c>
      <c r="H11" s="37"/>
      <c r="I11" s="38" t="n">
        <f aca="false">$D11*H11</f>
        <v>0</v>
      </c>
      <c r="J11" s="39"/>
      <c r="K11" s="38" t="n">
        <f aca="false">$D11*J11</f>
        <v>0</v>
      </c>
      <c r="L11" s="39"/>
      <c r="M11" s="38" t="n">
        <f aca="false">$D11*L11</f>
        <v>0</v>
      </c>
      <c r="N11" s="40"/>
      <c r="O11" s="38" t="n">
        <f aca="false">$D11*N11</f>
        <v>0</v>
      </c>
      <c r="P11" s="40"/>
      <c r="Q11" s="38" t="n">
        <f aca="false">$D11*P11</f>
        <v>0</v>
      </c>
      <c r="R11" s="40"/>
      <c r="S11" s="38" t="n">
        <f aca="false">$D11*R11</f>
        <v>0</v>
      </c>
      <c r="T11" s="40"/>
      <c r="U11" s="38" t="n">
        <f aca="false">$D11*T11</f>
        <v>0</v>
      </c>
      <c r="V11" s="40"/>
      <c r="W11" s="38" t="n">
        <f aca="false">$D11*V11</f>
        <v>0</v>
      </c>
      <c r="X11" s="40"/>
      <c r="Y11" s="38" t="n">
        <f aca="false">$D11*X11</f>
        <v>0</v>
      </c>
      <c r="Z11" s="41"/>
      <c r="AA11" s="42" t="n">
        <f aca="false">$D11*Z11</f>
        <v>0</v>
      </c>
      <c r="AB11" s="43"/>
      <c r="AC11" s="42" t="n">
        <f aca="false">$D11*AB11</f>
        <v>0</v>
      </c>
      <c r="AD11" s="43"/>
      <c r="AE11" s="42" t="n">
        <f aca="false">$D11*AD11</f>
        <v>0</v>
      </c>
      <c r="AF11" s="43"/>
      <c r="AG11" s="42" t="n">
        <f aca="false">$D11*AF11</f>
        <v>0</v>
      </c>
      <c r="AH11" s="43"/>
      <c r="AI11" s="42" t="n">
        <f aca="false">$D11*AH11</f>
        <v>0</v>
      </c>
      <c r="AJ11" s="43"/>
      <c r="AK11" s="42" t="n">
        <f aca="false">$D11*AJ11</f>
        <v>0</v>
      </c>
      <c r="AL11" s="43"/>
      <c r="AM11" s="42" t="n">
        <f aca="false">$D11*AL11</f>
        <v>0</v>
      </c>
      <c r="AN11" s="43"/>
      <c r="AO11" s="42" t="n">
        <f aca="false">$D11*AN11</f>
        <v>0</v>
      </c>
      <c r="AP11" s="43"/>
      <c r="AQ11" s="42" t="n">
        <f aca="false">$D11*AP11</f>
        <v>0</v>
      </c>
      <c r="AR11" s="43"/>
      <c r="AS11" s="42" t="n">
        <f aca="false">$D11*AR11</f>
        <v>0</v>
      </c>
      <c r="AT11" s="43"/>
      <c r="AU11" s="42" t="n">
        <f aca="false">$D11*AT11</f>
        <v>0</v>
      </c>
      <c r="AV11" s="43"/>
      <c r="AW11" s="42" t="n">
        <f aca="false">$D11*AV11</f>
        <v>0</v>
      </c>
      <c r="AX11" s="43"/>
      <c r="AY11" s="42" t="n">
        <f aca="false">$D11*AX11</f>
        <v>0</v>
      </c>
      <c r="AZ11" s="44" t="n">
        <f aca="false">H11+J11+L11+N11+P11+R11+T11+V11+X11+Z11+AB11+AD11+AF11+AH11+AJ11+AL11+AN11+AP11+AR11+AT11+AV11+AX11</f>
        <v>0</v>
      </c>
      <c r="BA11" s="42" t="n">
        <f aca="false">$D11*AZ11</f>
        <v>0</v>
      </c>
    </row>
    <row r="12" customFormat="false" ht="18" hidden="false" customHeight="true" outlineLevel="0" collapsed="false">
      <c r="A12" s="0" t="s">
        <v>12</v>
      </c>
      <c r="B12" s="49" t="n">
        <v>26</v>
      </c>
      <c r="C12" s="50" t="s">
        <v>23</v>
      </c>
      <c r="D12" s="51" t="n">
        <v>30</v>
      </c>
      <c r="E12" s="34" t="n">
        <f aca="false">B12</f>
        <v>26</v>
      </c>
      <c r="F12" s="35" t="str">
        <f aca="false">C12</f>
        <v>Coxinha c/ Massa de Macaxeira (08 unidades)</v>
      </c>
      <c r="G12" s="36" t="n">
        <f aca="false">D12</f>
        <v>30</v>
      </c>
      <c r="H12" s="37"/>
      <c r="I12" s="38" t="n">
        <f aca="false">$D12*H12</f>
        <v>0</v>
      </c>
      <c r="J12" s="39"/>
      <c r="K12" s="38" t="n">
        <f aca="false">$D12*J12</f>
        <v>0</v>
      </c>
      <c r="L12" s="39"/>
      <c r="M12" s="38" t="n">
        <f aca="false">$D12*L12</f>
        <v>0</v>
      </c>
      <c r="N12" s="40"/>
      <c r="O12" s="38" t="n">
        <f aca="false">$D12*N12</f>
        <v>0</v>
      </c>
      <c r="P12" s="40"/>
      <c r="Q12" s="38" t="n">
        <f aca="false">$D12*P12</f>
        <v>0</v>
      </c>
      <c r="R12" s="40"/>
      <c r="S12" s="38" t="n">
        <f aca="false">$D12*R12</f>
        <v>0</v>
      </c>
      <c r="T12" s="40"/>
      <c r="U12" s="38" t="n">
        <f aca="false">$D12*T12</f>
        <v>0</v>
      </c>
      <c r="V12" s="40"/>
      <c r="W12" s="38" t="n">
        <f aca="false">$D12*V12</f>
        <v>0</v>
      </c>
      <c r="X12" s="40"/>
      <c r="Y12" s="38" t="n">
        <f aca="false">$D12*X12</f>
        <v>0</v>
      </c>
      <c r="Z12" s="41"/>
      <c r="AA12" s="42" t="n">
        <f aca="false">$D12*Z12</f>
        <v>0</v>
      </c>
      <c r="AB12" s="43"/>
      <c r="AC12" s="42" t="n">
        <f aca="false">$D12*AB12</f>
        <v>0</v>
      </c>
      <c r="AD12" s="43"/>
      <c r="AE12" s="42" t="n">
        <f aca="false">$D12*AD12</f>
        <v>0</v>
      </c>
      <c r="AF12" s="43"/>
      <c r="AG12" s="42" t="n">
        <f aca="false">$D12*AF12</f>
        <v>0</v>
      </c>
      <c r="AH12" s="43"/>
      <c r="AI12" s="42" t="n">
        <f aca="false">$D12*AH12</f>
        <v>0</v>
      </c>
      <c r="AJ12" s="43"/>
      <c r="AK12" s="42" t="n">
        <f aca="false">$D12*AJ12</f>
        <v>0</v>
      </c>
      <c r="AL12" s="43"/>
      <c r="AM12" s="42" t="n">
        <f aca="false">$D12*AL12</f>
        <v>0</v>
      </c>
      <c r="AN12" s="43"/>
      <c r="AO12" s="42" t="n">
        <f aca="false">$D12*AN12</f>
        <v>0</v>
      </c>
      <c r="AP12" s="43"/>
      <c r="AQ12" s="42" t="n">
        <f aca="false">$D12*AP12</f>
        <v>0</v>
      </c>
      <c r="AR12" s="43"/>
      <c r="AS12" s="42" t="n">
        <f aca="false">$D12*AR12</f>
        <v>0</v>
      </c>
      <c r="AT12" s="43"/>
      <c r="AU12" s="42" t="n">
        <f aca="false">$D12*AT12</f>
        <v>0</v>
      </c>
      <c r="AV12" s="43"/>
      <c r="AW12" s="42" t="n">
        <f aca="false">$D12*AV12</f>
        <v>0</v>
      </c>
      <c r="AX12" s="43"/>
      <c r="AY12" s="42" t="n">
        <f aca="false">$D12*AX12</f>
        <v>0</v>
      </c>
      <c r="AZ12" s="44" t="n">
        <f aca="false">H12+J12+L12+N12+P12+R12+T12+V12+X12+Z12+AB12+AD12+AF12+AH12+AJ12+AL12+AN12+AP12+AR12+AT12+AV12+AX12</f>
        <v>0</v>
      </c>
      <c r="BA12" s="42" t="n">
        <f aca="false">$D12*AZ12</f>
        <v>0</v>
      </c>
    </row>
    <row r="13" customFormat="false" ht="16.5" hidden="true" customHeight="true" outlineLevel="0" collapsed="false">
      <c r="A13" s="0" t="s">
        <v>15</v>
      </c>
      <c r="B13" s="55" t="n">
        <v>47</v>
      </c>
      <c r="C13" s="56" t="s">
        <v>24</v>
      </c>
      <c r="D13" s="57" t="n">
        <v>35</v>
      </c>
      <c r="E13" s="34" t="n">
        <f aca="false">B13</f>
        <v>47</v>
      </c>
      <c r="F13" s="35" t="str">
        <f aca="false">C13</f>
        <v>Croquete de Macaxeira c/ Carne de Sol</v>
      </c>
      <c r="G13" s="36" t="n">
        <f aca="false">D13</f>
        <v>35</v>
      </c>
      <c r="H13" s="37"/>
      <c r="I13" s="38" t="n">
        <f aca="false">$D13*H13</f>
        <v>0</v>
      </c>
      <c r="J13" s="39"/>
      <c r="K13" s="38" t="n">
        <f aca="false">$D13*J13</f>
        <v>0</v>
      </c>
      <c r="L13" s="39"/>
      <c r="M13" s="38" t="n">
        <f aca="false">$D13*L13</f>
        <v>0</v>
      </c>
      <c r="N13" s="40"/>
      <c r="O13" s="38" t="n">
        <f aca="false">$D13*N13</f>
        <v>0</v>
      </c>
      <c r="P13" s="40"/>
      <c r="Q13" s="38" t="n">
        <f aca="false">$D13*P13</f>
        <v>0</v>
      </c>
      <c r="R13" s="40"/>
      <c r="S13" s="38" t="n">
        <f aca="false">$D13*R13</f>
        <v>0</v>
      </c>
      <c r="T13" s="40"/>
      <c r="U13" s="38" t="n">
        <f aca="false">$D13*T13</f>
        <v>0</v>
      </c>
      <c r="V13" s="40"/>
      <c r="W13" s="38" t="n">
        <f aca="false">$D13*V13</f>
        <v>0</v>
      </c>
      <c r="X13" s="40"/>
      <c r="Y13" s="38" t="n">
        <f aca="false">$D13*X13</f>
        <v>0</v>
      </c>
      <c r="Z13" s="41"/>
      <c r="AA13" s="42" t="n">
        <f aca="false">$D13*Z13</f>
        <v>0</v>
      </c>
      <c r="AB13" s="43"/>
      <c r="AC13" s="42" t="n">
        <f aca="false">$D13*AB13</f>
        <v>0</v>
      </c>
      <c r="AD13" s="43"/>
      <c r="AE13" s="42" t="n">
        <f aca="false">$D13*AD13</f>
        <v>0</v>
      </c>
      <c r="AF13" s="43"/>
      <c r="AG13" s="42" t="n">
        <f aca="false">$D13*AF13</f>
        <v>0</v>
      </c>
      <c r="AH13" s="43"/>
      <c r="AI13" s="42" t="n">
        <f aca="false">$D13*AH13</f>
        <v>0</v>
      </c>
      <c r="AJ13" s="43"/>
      <c r="AK13" s="42" t="n">
        <f aca="false">$D13*AJ13</f>
        <v>0</v>
      </c>
      <c r="AL13" s="43"/>
      <c r="AM13" s="42" t="n">
        <f aca="false">$D13*AL13</f>
        <v>0</v>
      </c>
      <c r="AN13" s="43"/>
      <c r="AO13" s="42" t="n">
        <f aca="false">$D13*AN13</f>
        <v>0</v>
      </c>
      <c r="AP13" s="43"/>
      <c r="AQ13" s="42" t="n">
        <f aca="false">$D13*AP13</f>
        <v>0</v>
      </c>
      <c r="AR13" s="43"/>
      <c r="AS13" s="42" t="n">
        <f aca="false">$D13*AR13</f>
        <v>0</v>
      </c>
      <c r="AT13" s="43"/>
      <c r="AU13" s="42" t="n">
        <f aca="false">$D13*AT13</f>
        <v>0</v>
      </c>
      <c r="AV13" s="43"/>
      <c r="AW13" s="42" t="n">
        <f aca="false">$D13*AV13</f>
        <v>0</v>
      </c>
      <c r="AX13" s="43"/>
      <c r="AY13" s="42" t="n">
        <f aca="false">$D13*AX13</f>
        <v>0</v>
      </c>
      <c r="AZ13" s="44" t="n">
        <f aca="false">H13+J13+L13+N13+P13+R13+T13+V13+X13+Z13+AB13+AD13+AF13+AH13+AJ13+AL13+AN13+AP13+AR13+AT13+AV13+AX13</f>
        <v>0</v>
      </c>
      <c r="BA13" s="42" t="n">
        <f aca="false">$D13*AZ13</f>
        <v>0</v>
      </c>
    </row>
    <row r="14" customFormat="false" ht="18" hidden="false" customHeight="true" outlineLevel="0" collapsed="false">
      <c r="A14" s="0" t="s">
        <v>12</v>
      </c>
      <c r="B14" s="49" t="n">
        <v>25</v>
      </c>
      <c r="C14" s="50" t="s">
        <v>25</v>
      </c>
      <c r="D14" s="51" t="n">
        <v>30</v>
      </c>
      <c r="E14" s="34" t="n">
        <f aca="false">B14</f>
        <v>25</v>
      </c>
      <c r="F14" s="35" t="str">
        <f aca="false">C14</f>
        <v>Dadinho de Tapioca c/ Geléia de Pimenta (08 unidades)</v>
      </c>
      <c r="G14" s="36" t="n">
        <f aca="false">D14</f>
        <v>30</v>
      </c>
      <c r="H14" s="37"/>
      <c r="I14" s="38" t="n">
        <f aca="false">$D14*H14</f>
        <v>0</v>
      </c>
      <c r="J14" s="39"/>
      <c r="K14" s="38" t="n">
        <f aca="false">$D14*J14</f>
        <v>0</v>
      </c>
      <c r="L14" s="39"/>
      <c r="M14" s="38" t="n">
        <f aca="false">$D14*L14</f>
        <v>0</v>
      </c>
      <c r="N14" s="40"/>
      <c r="O14" s="38" t="n">
        <f aca="false">$D14*N14</f>
        <v>0</v>
      </c>
      <c r="P14" s="40"/>
      <c r="Q14" s="38" t="n">
        <f aca="false">$D14*P14</f>
        <v>0</v>
      </c>
      <c r="R14" s="40"/>
      <c r="S14" s="38" t="n">
        <f aca="false">$D14*R14</f>
        <v>0</v>
      </c>
      <c r="T14" s="40"/>
      <c r="U14" s="38" t="n">
        <f aca="false">$D14*T14</f>
        <v>0</v>
      </c>
      <c r="V14" s="40"/>
      <c r="W14" s="38" t="n">
        <f aca="false">$D14*V14</f>
        <v>0</v>
      </c>
      <c r="X14" s="40"/>
      <c r="Y14" s="38" t="n">
        <f aca="false">$D14*X14</f>
        <v>0</v>
      </c>
      <c r="Z14" s="41"/>
      <c r="AA14" s="42" t="n">
        <f aca="false">$D14*Z14</f>
        <v>0</v>
      </c>
      <c r="AB14" s="43"/>
      <c r="AC14" s="42" t="n">
        <f aca="false">$D14*AB14</f>
        <v>0</v>
      </c>
      <c r="AD14" s="43"/>
      <c r="AE14" s="42" t="n">
        <f aca="false">$D14*AD14</f>
        <v>0</v>
      </c>
      <c r="AF14" s="43"/>
      <c r="AG14" s="42" t="n">
        <f aca="false">$D14*AF14</f>
        <v>0</v>
      </c>
      <c r="AH14" s="43"/>
      <c r="AI14" s="42" t="n">
        <f aca="false">$D14*AH14</f>
        <v>0</v>
      </c>
      <c r="AJ14" s="43"/>
      <c r="AK14" s="42" t="n">
        <f aca="false">$D14*AJ14</f>
        <v>0</v>
      </c>
      <c r="AL14" s="43"/>
      <c r="AM14" s="42" t="n">
        <f aca="false">$D14*AL14</f>
        <v>0</v>
      </c>
      <c r="AN14" s="43"/>
      <c r="AO14" s="42" t="n">
        <f aca="false">$D14*AN14</f>
        <v>0</v>
      </c>
      <c r="AP14" s="43"/>
      <c r="AQ14" s="42" t="n">
        <f aca="false">$D14*AP14</f>
        <v>0</v>
      </c>
      <c r="AR14" s="43"/>
      <c r="AS14" s="42" t="n">
        <f aca="false">$D14*AR14</f>
        <v>0</v>
      </c>
      <c r="AT14" s="43"/>
      <c r="AU14" s="42" t="n">
        <f aca="false">$D14*AT14</f>
        <v>0</v>
      </c>
      <c r="AV14" s="43"/>
      <c r="AW14" s="42" t="n">
        <f aca="false">$D14*AV14</f>
        <v>0</v>
      </c>
      <c r="AX14" s="43"/>
      <c r="AY14" s="42" t="n">
        <f aca="false">$D14*AX14</f>
        <v>0</v>
      </c>
      <c r="AZ14" s="44" t="n">
        <f aca="false">H14+J14+L14+N14+P14+R14+T14+V14+X14+Z14+AB14+AD14+AF14+AH14+AJ14+AL14+AN14+AP14+AR14+AT14+AV14+AX14</f>
        <v>0</v>
      </c>
      <c r="BA14" s="42" t="n">
        <f aca="false">$D14*AZ14</f>
        <v>0</v>
      </c>
    </row>
    <row r="15" customFormat="false" ht="18" hidden="false" customHeight="true" outlineLevel="0" collapsed="false">
      <c r="A15" s="0" t="s">
        <v>12</v>
      </c>
      <c r="B15" s="49" t="n">
        <v>48</v>
      </c>
      <c r="C15" s="50" t="s">
        <v>26</v>
      </c>
      <c r="D15" s="51" t="n">
        <v>45</v>
      </c>
      <c r="E15" s="34" t="n">
        <f aca="false">B15</f>
        <v>48</v>
      </c>
      <c r="F15" s="35" t="str">
        <f aca="false">C15</f>
        <v>Escondidinho de Carne de Sol</v>
      </c>
      <c r="G15" s="36" t="n">
        <f aca="false">D15</f>
        <v>45</v>
      </c>
      <c r="H15" s="37"/>
      <c r="I15" s="38" t="n">
        <f aca="false">$D15*H15</f>
        <v>0</v>
      </c>
      <c r="J15" s="39"/>
      <c r="K15" s="38" t="n">
        <f aca="false">$D15*J15</f>
        <v>0</v>
      </c>
      <c r="L15" s="39"/>
      <c r="M15" s="38" t="n">
        <f aca="false">$D15*L15</f>
        <v>0</v>
      </c>
      <c r="N15" s="40"/>
      <c r="O15" s="38" t="n">
        <f aca="false">$D15*N15</f>
        <v>0</v>
      </c>
      <c r="P15" s="40"/>
      <c r="Q15" s="38" t="n">
        <f aca="false">$D15*P15</f>
        <v>0</v>
      </c>
      <c r="R15" s="40"/>
      <c r="S15" s="38" t="n">
        <f aca="false">$D15*R15</f>
        <v>0</v>
      </c>
      <c r="T15" s="40"/>
      <c r="U15" s="38" t="n">
        <f aca="false">$D15*T15</f>
        <v>0</v>
      </c>
      <c r="V15" s="40"/>
      <c r="W15" s="38" t="n">
        <f aca="false">$D15*V15</f>
        <v>0</v>
      </c>
      <c r="X15" s="40"/>
      <c r="Y15" s="38" t="n">
        <f aca="false">$D15*X15</f>
        <v>0</v>
      </c>
      <c r="Z15" s="41"/>
      <c r="AA15" s="42" t="n">
        <f aca="false">$D15*Z15</f>
        <v>0</v>
      </c>
      <c r="AB15" s="43"/>
      <c r="AC15" s="42" t="n">
        <f aca="false">$D15*AB15</f>
        <v>0</v>
      </c>
      <c r="AD15" s="43"/>
      <c r="AE15" s="42" t="n">
        <f aca="false">$D15*AD15</f>
        <v>0</v>
      </c>
      <c r="AF15" s="43"/>
      <c r="AG15" s="42" t="n">
        <f aca="false">$D15*AF15</f>
        <v>0</v>
      </c>
      <c r="AH15" s="43"/>
      <c r="AI15" s="42" t="n">
        <f aca="false">$D15*AH15</f>
        <v>0</v>
      </c>
      <c r="AJ15" s="43"/>
      <c r="AK15" s="42" t="n">
        <f aca="false">$D15*AJ15</f>
        <v>0</v>
      </c>
      <c r="AL15" s="43"/>
      <c r="AM15" s="42" t="n">
        <f aca="false">$D15*AL15</f>
        <v>0</v>
      </c>
      <c r="AN15" s="43"/>
      <c r="AO15" s="42" t="n">
        <f aca="false">$D15*AN15</f>
        <v>0</v>
      </c>
      <c r="AP15" s="43"/>
      <c r="AQ15" s="42" t="n">
        <f aca="false">$D15*AP15</f>
        <v>0</v>
      </c>
      <c r="AR15" s="43"/>
      <c r="AS15" s="42" t="n">
        <f aca="false">$D15*AR15</f>
        <v>0</v>
      </c>
      <c r="AT15" s="43"/>
      <c r="AU15" s="42" t="n">
        <f aca="false">$D15*AT15</f>
        <v>0</v>
      </c>
      <c r="AV15" s="43"/>
      <c r="AW15" s="42" t="n">
        <f aca="false">$D15*AV15</f>
        <v>0</v>
      </c>
      <c r="AX15" s="43"/>
      <c r="AY15" s="42" t="n">
        <f aca="false">$D15*AX15</f>
        <v>0</v>
      </c>
      <c r="AZ15" s="44" t="n">
        <f aca="false">H15+J15+L15+N15+P15+R15+T15+V15+X15+Z15+AB15+AD15+AF15+AH15+AJ15+AL15+AN15+AP15+AR15+AT15+AV15+AX15</f>
        <v>0</v>
      </c>
      <c r="BA15" s="42" t="n">
        <f aca="false">$D15*AZ15</f>
        <v>0</v>
      </c>
    </row>
    <row r="16" customFormat="false" ht="16.5" hidden="true" customHeight="true" outlineLevel="0" collapsed="false">
      <c r="A16" s="0" t="s">
        <v>15</v>
      </c>
      <c r="B16" s="45" t="n">
        <v>39</v>
      </c>
      <c r="C16" s="35" t="s">
        <v>27</v>
      </c>
      <c r="D16" s="58" t="n">
        <v>17</v>
      </c>
      <c r="E16" s="34" t="n">
        <f aca="false">B16</f>
        <v>39</v>
      </c>
      <c r="F16" s="35" t="str">
        <f aca="false">C16</f>
        <v>Espetinho de Frango c/ Vinagrete de Feijão Verde e Farofa</v>
      </c>
      <c r="G16" s="36" t="n">
        <f aca="false">D16</f>
        <v>17</v>
      </c>
      <c r="H16" s="37"/>
      <c r="I16" s="38" t="n">
        <f aca="false">$D16*H16</f>
        <v>0</v>
      </c>
      <c r="J16" s="39"/>
      <c r="K16" s="38" t="n">
        <f aca="false">$D16*J16</f>
        <v>0</v>
      </c>
      <c r="L16" s="39"/>
      <c r="M16" s="38" t="n">
        <f aca="false">$D16*L16</f>
        <v>0</v>
      </c>
      <c r="N16" s="40"/>
      <c r="O16" s="38" t="n">
        <f aca="false">$D16*N16</f>
        <v>0</v>
      </c>
      <c r="P16" s="40"/>
      <c r="Q16" s="38" t="n">
        <f aca="false">$D16*P16</f>
        <v>0</v>
      </c>
      <c r="R16" s="40"/>
      <c r="S16" s="38" t="n">
        <f aca="false">$D16*R16</f>
        <v>0</v>
      </c>
      <c r="T16" s="40"/>
      <c r="U16" s="38" t="n">
        <f aca="false">$D16*T16</f>
        <v>0</v>
      </c>
      <c r="V16" s="40"/>
      <c r="W16" s="38" t="n">
        <f aca="false">$D16*V16</f>
        <v>0</v>
      </c>
      <c r="X16" s="40"/>
      <c r="Y16" s="38" t="n">
        <f aca="false">$D16*X16</f>
        <v>0</v>
      </c>
      <c r="Z16" s="41"/>
      <c r="AA16" s="42" t="n">
        <f aca="false">$D16*Z16</f>
        <v>0</v>
      </c>
      <c r="AB16" s="43"/>
      <c r="AC16" s="42" t="n">
        <f aca="false">$D16*AB16</f>
        <v>0</v>
      </c>
      <c r="AD16" s="43"/>
      <c r="AE16" s="42" t="n">
        <f aca="false">$D16*AD16</f>
        <v>0</v>
      </c>
      <c r="AF16" s="43"/>
      <c r="AG16" s="42" t="n">
        <f aca="false">$D16*AF16</f>
        <v>0</v>
      </c>
      <c r="AH16" s="43"/>
      <c r="AI16" s="42" t="n">
        <f aca="false">$D16*AH16</f>
        <v>0</v>
      </c>
      <c r="AJ16" s="43"/>
      <c r="AK16" s="42" t="n">
        <f aca="false">$D16*AJ16</f>
        <v>0</v>
      </c>
      <c r="AL16" s="43"/>
      <c r="AM16" s="42" t="n">
        <f aca="false">$D16*AL16</f>
        <v>0</v>
      </c>
      <c r="AN16" s="43"/>
      <c r="AO16" s="42" t="n">
        <f aca="false">$D16*AN16</f>
        <v>0</v>
      </c>
      <c r="AP16" s="43"/>
      <c r="AQ16" s="42" t="n">
        <f aca="false">$D16*AP16</f>
        <v>0</v>
      </c>
      <c r="AR16" s="43"/>
      <c r="AS16" s="42" t="n">
        <f aca="false">$D16*AR16</f>
        <v>0</v>
      </c>
      <c r="AT16" s="43"/>
      <c r="AU16" s="42" t="n">
        <f aca="false">$D16*AT16</f>
        <v>0</v>
      </c>
      <c r="AV16" s="43"/>
      <c r="AW16" s="42" t="n">
        <f aca="false">$D16*AV16</f>
        <v>0</v>
      </c>
      <c r="AX16" s="43"/>
      <c r="AY16" s="42" t="n">
        <f aca="false">$D16*AX16</f>
        <v>0</v>
      </c>
      <c r="AZ16" s="44" t="n">
        <f aca="false">H16+J16+L16+N16+P16+R16+T16+V16+X16+Z16+AB16+AD16+AF16+AH16+AJ16+AL16+AN16+AP16+AR16+AT16+AV16+AX16</f>
        <v>0</v>
      </c>
      <c r="BA16" s="42" t="n">
        <f aca="false">$D16*AZ16</f>
        <v>0</v>
      </c>
    </row>
    <row r="17" customFormat="false" ht="16.5" hidden="true" customHeight="true" outlineLevel="0" collapsed="false">
      <c r="A17" s="0" t="s">
        <v>15</v>
      </c>
      <c r="B17" s="52" t="n">
        <v>40</v>
      </c>
      <c r="C17" s="53" t="s">
        <v>28</v>
      </c>
      <c r="D17" s="51" t="n">
        <v>17</v>
      </c>
      <c r="E17" s="34" t="n">
        <f aca="false">B17</f>
        <v>40</v>
      </c>
      <c r="F17" s="35" t="str">
        <f aca="false">C17</f>
        <v>Espetinho de Suino c/ Vinagrete de Feijão Verde e Farofa</v>
      </c>
      <c r="G17" s="36" t="n">
        <f aca="false">D17</f>
        <v>17</v>
      </c>
      <c r="H17" s="37"/>
      <c r="I17" s="38" t="n">
        <f aca="false">$D17*H17</f>
        <v>0</v>
      </c>
      <c r="J17" s="39"/>
      <c r="K17" s="38" t="n">
        <f aca="false">$D17*J17</f>
        <v>0</v>
      </c>
      <c r="L17" s="39"/>
      <c r="M17" s="38" t="n">
        <f aca="false">$D17*L17</f>
        <v>0</v>
      </c>
      <c r="N17" s="40"/>
      <c r="O17" s="38" t="n">
        <f aca="false">$D17*N17</f>
        <v>0</v>
      </c>
      <c r="P17" s="40"/>
      <c r="Q17" s="38" t="n">
        <f aca="false">$D17*P17</f>
        <v>0</v>
      </c>
      <c r="R17" s="40"/>
      <c r="S17" s="38" t="n">
        <f aca="false">$D17*R17</f>
        <v>0</v>
      </c>
      <c r="T17" s="40"/>
      <c r="U17" s="38" t="n">
        <f aca="false">$D17*T17</f>
        <v>0</v>
      </c>
      <c r="V17" s="40"/>
      <c r="W17" s="38" t="n">
        <f aca="false">$D17*V17</f>
        <v>0</v>
      </c>
      <c r="X17" s="40"/>
      <c r="Y17" s="38" t="n">
        <f aca="false">$D17*X17</f>
        <v>0</v>
      </c>
      <c r="Z17" s="41"/>
      <c r="AA17" s="42" t="n">
        <f aca="false">$D17*Z17</f>
        <v>0</v>
      </c>
      <c r="AB17" s="43"/>
      <c r="AC17" s="42" t="n">
        <f aca="false">$D17*AB17</f>
        <v>0</v>
      </c>
      <c r="AD17" s="43"/>
      <c r="AE17" s="42" t="n">
        <f aca="false">$D17*AD17</f>
        <v>0</v>
      </c>
      <c r="AF17" s="43"/>
      <c r="AG17" s="42" t="n">
        <f aca="false">$D17*AF17</f>
        <v>0</v>
      </c>
      <c r="AH17" s="43"/>
      <c r="AI17" s="42" t="n">
        <f aca="false">$D17*AH17</f>
        <v>0</v>
      </c>
      <c r="AJ17" s="43"/>
      <c r="AK17" s="42" t="n">
        <f aca="false">$D17*AJ17</f>
        <v>0</v>
      </c>
      <c r="AL17" s="43"/>
      <c r="AM17" s="42" t="n">
        <f aca="false">$D17*AL17</f>
        <v>0</v>
      </c>
      <c r="AN17" s="43"/>
      <c r="AO17" s="42" t="n">
        <f aca="false">$D17*AN17</f>
        <v>0</v>
      </c>
      <c r="AP17" s="43"/>
      <c r="AQ17" s="42" t="n">
        <f aca="false">$D17*AP17</f>
        <v>0</v>
      </c>
      <c r="AR17" s="43"/>
      <c r="AS17" s="42" t="n">
        <f aca="false">$D17*AR17</f>
        <v>0</v>
      </c>
      <c r="AT17" s="43"/>
      <c r="AU17" s="42" t="n">
        <f aca="false">$D17*AT17</f>
        <v>0</v>
      </c>
      <c r="AV17" s="43"/>
      <c r="AW17" s="42" t="n">
        <f aca="false">$D17*AV17</f>
        <v>0</v>
      </c>
      <c r="AX17" s="43"/>
      <c r="AY17" s="42" t="n">
        <f aca="false">$D17*AX17</f>
        <v>0</v>
      </c>
      <c r="AZ17" s="44" t="n">
        <f aca="false">H17+J17+L17+N17+P17+R17+T17+V17+X17+Z17+AB17+AD17+AF17+AH17+AJ17+AL17+AN17+AP17+AR17+AT17+AV17+AX17</f>
        <v>0</v>
      </c>
      <c r="BA17" s="42" t="n">
        <f aca="false">$D17*AZ17</f>
        <v>0</v>
      </c>
    </row>
    <row r="18" customFormat="false" ht="16.5" hidden="true" customHeight="true" outlineLevel="0" collapsed="false">
      <c r="A18" s="0" t="s">
        <v>15</v>
      </c>
      <c r="B18" s="46" t="n">
        <v>49</v>
      </c>
      <c r="C18" s="47" t="s">
        <v>29</v>
      </c>
      <c r="D18" s="48" t="n">
        <v>40</v>
      </c>
      <c r="E18" s="34" t="n">
        <f aca="false">B18</f>
        <v>49</v>
      </c>
      <c r="F18" s="35" t="str">
        <f aca="false">C18</f>
        <v>Frango a Passarinho</v>
      </c>
      <c r="G18" s="36" t="n">
        <f aca="false">D18</f>
        <v>40</v>
      </c>
      <c r="H18" s="37"/>
      <c r="I18" s="38" t="n">
        <f aca="false">$D18*H18</f>
        <v>0</v>
      </c>
      <c r="J18" s="39"/>
      <c r="K18" s="38" t="n">
        <f aca="false">$D18*J18</f>
        <v>0</v>
      </c>
      <c r="L18" s="39"/>
      <c r="M18" s="38" t="n">
        <f aca="false">$D18*L18</f>
        <v>0</v>
      </c>
      <c r="N18" s="40"/>
      <c r="O18" s="38" t="n">
        <f aca="false">$D18*N18</f>
        <v>0</v>
      </c>
      <c r="P18" s="40"/>
      <c r="Q18" s="38" t="n">
        <f aca="false">$D18*P18</f>
        <v>0</v>
      </c>
      <c r="R18" s="40"/>
      <c r="S18" s="38" t="n">
        <f aca="false">$D18*R18</f>
        <v>0</v>
      </c>
      <c r="T18" s="40"/>
      <c r="U18" s="38" t="n">
        <f aca="false">$D18*T18</f>
        <v>0</v>
      </c>
      <c r="V18" s="40"/>
      <c r="W18" s="38" t="n">
        <f aca="false">$D18*V18</f>
        <v>0</v>
      </c>
      <c r="X18" s="40"/>
      <c r="Y18" s="38" t="n">
        <f aca="false">$D18*X18</f>
        <v>0</v>
      </c>
      <c r="Z18" s="41"/>
      <c r="AA18" s="42" t="n">
        <f aca="false">$D18*Z18</f>
        <v>0</v>
      </c>
      <c r="AB18" s="43"/>
      <c r="AC18" s="42" t="n">
        <f aca="false">$D18*AB18</f>
        <v>0</v>
      </c>
      <c r="AD18" s="43"/>
      <c r="AE18" s="42" t="n">
        <f aca="false">$D18*AD18</f>
        <v>0</v>
      </c>
      <c r="AF18" s="43"/>
      <c r="AG18" s="42" t="n">
        <f aca="false">$D18*AF18</f>
        <v>0</v>
      </c>
      <c r="AH18" s="43"/>
      <c r="AI18" s="42" t="n">
        <f aca="false">$D18*AH18</f>
        <v>0</v>
      </c>
      <c r="AJ18" s="43"/>
      <c r="AK18" s="42" t="n">
        <f aca="false">$D18*AJ18</f>
        <v>0</v>
      </c>
      <c r="AL18" s="43"/>
      <c r="AM18" s="42" t="n">
        <f aca="false">$D18*AL18</f>
        <v>0</v>
      </c>
      <c r="AN18" s="43"/>
      <c r="AO18" s="42" t="n">
        <f aca="false">$D18*AN18</f>
        <v>0</v>
      </c>
      <c r="AP18" s="43"/>
      <c r="AQ18" s="42" t="n">
        <f aca="false">$D18*AP18</f>
        <v>0</v>
      </c>
      <c r="AR18" s="43"/>
      <c r="AS18" s="42" t="n">
        <f aca="false">$D18*AR18</f>
        <v>0</v>
      </c>
      <c r="AT18" s="43"/>
      <c r="AU18" s="42" t="n">
        <f aca="false">$D18*AT18</f>
        <v>0</v>
      </c>
      <c r="AV18" s="43"/>
      <c r="AW18" s="42" t="n">
        <f aca="false">$D18*AV18</f>
        <v>0</v>
      </c>
      <c r="AX18" s="43"/>
      <c r="AY18" s="42" t="n">
        <f aca="false">$D18*AX18</f>
        <v>0</v>
      </c>
      <c r="AZ18" s="44" t="n">
        <f aca="false">H18+J18+L18+N18+P18+R18+T18+V18+X18+Z18+AB18+AD18+AF18+AH18+AJ18+AL18+AN18+AP18+AR18+AT18+AV18+AX18</f>
        <v>0</v>
      </c>
      <c r="BA18" s="42" t="n">
        <f aca="false">$D18*AZ18</f>
        <v>0</v>
      </c>
    </row>
    <row r="19" customFormat="false" ht="18" hidden="false" customHeight="true" outlineLevel="0" collapsed="false">
      <c r="A19" s="0" t="s">
        <v>12</v>
      </c>
      <c r="B19" s="49" t="n">
        <v>24</v>
      </c>
      <c r="C19" s="50" t="s">
        <v>30</v>
      </c>
      <c r="D19" s="51" t="n">
        <v>25</v>
      </c>
      <c r="E19" s="34" t="n">
        <f aca="false">B19</f>
        <v>24</v>
      </c>
      <c r="F19" s="35" t="str">
        <f aca="false">C19</f>
        <v>Kibe (06 unidades)</v>
      </c>
      <c r="G19" s="36" t="n">
        <f aca="false">D19</f>
        <v>25</v>
      </c>
      <c r="H19" s="37"/>
      <c r="I19" s="38" t="n">
        <f aca="false">$D19*H19</f>
        <v>0</v>
      </c>
      <c r="J19" s="39"/>
      <c r="K19" s="38" t="n">
        <f aca="false">$D19*J19</f>
        <v>0</v>
      </c>
      <c r="L19" s="39"/>
      <c r="M19" s="38" t="n">
        <f aca="false">$D19*L19</f>
        <v>0</v>
      </c>
      <c r="N19" s="40"/>
      <c r="O19" s="38" t="n">
        <f aca="false">$D19*N19</f>
        <v>0</v>
      </c>
      <c r="P19" s="40"/>
      <c r="Q19" s="38" t="n">
        <f aca="false">$D19*P19</f>
        <v>0</v>
      </c>
      <c r="R19" s="40"/>
      <c r="S19" s="38" t="n">
        <f aca="false">$D19*R19</f>
        <v>0</v>
      </c>
      <c r="T19" s="40"/>
      <c r="U19" s="38" t="n">
        <f aca="false">$D19*T19</f>
        <v>0</v>
      </c>
      <c r="V19" s="40"/>
      <c r="W19" s="38" t="n">
        <f aca="false">$D19*V19</f>
        <v>0</v>
      </c>
      <c r="X19" s="40"/>
      <c r="Y19" s="38" t="n">
        <f aca="false">$D19*X19</f>
        <v>0</v>
      </c>
      <c r="Z19" s="41"/>
      <c r="AA19" s="42" t="n">
        <f aca="false">$D19*Z19</f>
        <v>0</v>
      </c>
      <c r="AB19" s="43"/>
      <c r="AC19" s="42" t="n">
        <f aca="false">$D19*AB19</f>
        <v>0</v>
      </c>
      <c r="AD19" s="43"/>
      <c r="AE19" s="42" t="n">
        <f aca="false">$D19*AD19</f>
        <v>0</v>
      </c>
      <c r="AF19" s="43"/>
      <c r="AG19" s="42" t="n">
        <f aca="false">$D19*AF19</f>
        <v>0</v>
      </c>
      <c r="AH19" s="43"/>
      <c r="AI19" s="42" t="n">
        <f aca="false">$D19*AH19</f>
        <v>0</v>
      </c>
      <c r="AJ19" s="43"/>
      <c r="AK19" s="42" t="n">
        <f aca="false">$D19*AJ19</f>
        <v>0</v>
      </c>
      <c r="AL19" s="43"/>
      <c r="AM19" s="42" t="n">
        <f aca="false">$D19*AL19</f>
        <v>0</v>
      </c>
      <c r="AN19" s="43"/>
      <c r="AO19" s="42" t="n">
        <f aca="false">$D19*AN19</f>
        <v>0</v>
      </c>
      <c r="AP19" s="43"/>
      <c r="AQ19" s="42" t="n">
        <f aca="false">$D19*AP19</f>
        <v>0</v>
      </c>
      <c r="AR19" s="43"/>
      <c r="AS19" s="42" t="n">
        <f aca="false">$D19*AR19</f>
        <v>0</v>
      </c>
      <c r="AT19" s="43"/>
      <c r="AU19" s="42" t="n">
        <f aca="false">$D19*AT19</f>
        <v>0</v>
      </c>
      <c r="AV19" s="43"/>
      <c r="AW19" s="42" t="n">
        <f aca="false">$D19*AV19</f>
        <v>0</v>
      </c>
      <c r="AX19" s="43"/>
      <c r="AY19" s="42" t="n">
        <f aca="false">$D19*AX19</f>
        <v>0</v>
      </c>
      <c r="AZ19" s="44" t="n">
        <f aca="false">H19+J19+L19+N19+P19+R19+T19+V19+X19+Z19+AB19+AD19+AF19+AH19+AJ19+AL19+AN19+AP19+AR19+AT19+AV19+AX19</f>
        <v>0</v>
      </c>
      <c r="BA19" s="42" t="n">
        <f aca="false">$D19*AZ19</f>
        <v>0</v>
      </c>
    </row>
    <row r="20" customFormat="false" ht="16.5" hidden="true" customHeight="true" outlineLevel="0" collapsed="false">
      <c r="A20" s="0" t="s">
        <v>15</v>
      </c>
      <c r="B20" s="55" t="n">
        <v>50</v>
      </c>
      <c r="C20" s="56" t="s">
        <v>31</v>
      </c>
      <c r="D20" s="57" t="n">
        <v>40</v>
      </c>
      <c r="E20" s="34" t="n">
        <f aca="false">B20</f>
        <v>50</v>
      </c>
      <c r="F20" s="35" t="str">
        <f aca="false">C20</f>
        <v>Lagarto ao molho Madeira c/ arroz e fritas</v>
      </c>
      <c r="G20" s="36" t="n">
        <f aca="false">D20</f>
        <v>40</v>
      </c>
      <c r="H20" s="37"/>
      <c r="I20" s="38" t="n">
        <f aca="false">$D20*H20</f>
        <v>0</v>
      </c>
      <c r="J20" s="39"/>
      <c r="K20" s="38" t="n">
        <f aca="false">$D20*J20</f>
        <v>0</v>
      </c>
      <c r="L20" s="39"/>
      <c r="M20" s="38" t="n">
        <f aca="false">$D20*L20</f>
        <v>0</v>
      </c>
      <c r="N20" s="40"/>
      <c r="O20" s="38" t="n">
        <f aca="false">$D20*N20</f>
        <v>0</v>
      </c>
      <c r="P20" s="40"/>
      <c r="Q20" s="38" t="n">
        <f aca="false">$D20*P20</f>
        <v>0</v>
      </c>
      <c r="R20" s="40"/>
      <c r="S20" s="38" t="n">
        <f aca="false">$D20*R20</f>
        <v>0</v>
      </c>
      <c r="T20" s="40"/>
      <c r="U20" s="38" t="n">
        <f aca="false">$D20*T20</f>
        <v>0</v>
      </c>
      <c r="V20" s="40"/>
      <c r="W20" s="38" t="n">
        <f aca="false">$D20*V20</f>
        <v>0</v>
      </c>
      <c r="X20" s="40"/>
      <c r="Y20" s="38" t="n">
        <f aca="false">$D20*X20</f>
        <v>0</v>
      </c>
      <c r="Z20" s="41"/>
      <c r="AA20" s="42" t="n">
        <f aca="false">$D20*Z20</f>
        <v>0</v>
      </c>
      <c r="AB20" s="43"/>
      <c r="AC20" s="42" t="n">
        <f aca="false">$D20*AB20</f>
        <v>0</v>
      </c>
      <c r="AD20" s="43"/>
      <c r="AE20" s="42" t="n">
        <f aca="false">$D20*AD20</f>
        <v>0</v>
      </c>
      <c r="AF20" s="43"/>
      <c r="AG20" s="42" t="n">
        <f aca="false">$D20*AF20</f>
        <v>0</v>
      </c>
      <c r="AH20" s="43"/>
      <c r="AI20" s="42" t="n">
        <f aca="false">$D20*AH20</f>
        <v>0</v>
      </c>
      <c r="AJ20" s="43"/>
      <c r="AK20" s="42" t="n">
        <f aca="false">$D20*AJ20</f>
        <v>0</v>
      </c>
      <c r="AL20" s="43"/>
      <c r="AM20" s="42" t="n">
        <f aca="false">$D20*AL20</f>
        <v>0</v>
      </c>
      <c r="AN20" s="43"/>
      <c r="AO20" s="42" t="n">
        <f aca="false">$D20*AN20</f>
        <v>0</v>
      </c>
      <c r="AP20" s="43"/>
      <c r="AQ20" s="42" t="n">
        <f aca="false">$D20*AP20</f>
        <v>0</v>
      </c>
      <c r="AR20" s="43"/>
      <c r="AS20" s="42" t="n">
        <f aca="false">$D20*AR20</f>
        <v>0</v>
      </c>
      <c r="AT20" s="43"/>
      <c r="AU20" s="42" t="n">
        <f aca="false">$D20*AT20</f>
        <v>0</v>
      </c>
      <c r="AV20" s="43"/>
      <c r="AW20" s="42" t="n">
        <f aca="false">$D20*AV20</f>
        <v>0</v>
      </c>
      <c r="AX20" s="43"/>
      <c r="AY20" s="42" t="n">
        <f aca="false">$D20*AX20</f>
        <v>0</v>
      </c>
      <c r="AZ20" s="44" t="n">
        <f aca="false">H20+J20+L20+N20+P20+R20+T20+V20+X20+Z20+AB20+AD20+AF20+AH20+AJ20+AL20+AN20+AP20+AR20+AT20+AV20+AX20</f>
        <v>0</v>
      </c>
      <c r="BA20" s="42" t="n">
        <f aca="false">$D20*AZ20</f>
        <v>0</v>
      </c>
    </row>
    <row r="21" customFormat="false" ht="18" hidden="false" customHeight="true" outlineLevel="0" collapsed="false">
      <c r="A21" s="0" t="s">
        <v>12</v>
      </c>
      <c r="B21" s="49" t="n">
        <v>51</v>
      </c>
      <c r="C21" s="50" t="s">
        <v>32</v>
      </c>
      <c r="D21" s="51" t="n">
        <v>40</v>
      </c>
      <c r="E21" s="34" t="n">
        <f aca="false">B21</f>
        <v>51</v>
      </c>
      <c r="F21" s="35" t="str">
        <f aca="false">C21</f>
        <v>Macaxeira Frita c/ Queijo Parmesão</v>
      </c>
      <c r="G21" s="36" t="n">
        <f aca="false">D21</f>
        <v>40</v>
      </c>
      <c r="H21" s="37"/>
      <c r="I21" s="38" t="n">
        <f aca="false">$D21*H21</f>
        <v>0</v>
      </c>
      <c r="J21" s="39"/>
      <c r="K21" s="38" t="n">
        <f aca="false">$D21*J21</f>
        <v>0</v>
      </c>
      <c r="L21" s="39"/>
      <c r="M21" s="38" t="n">
        <f aca="false">$D21*L21</f>
        <v>0</v>
      </c>
      <c r="N21" s="40"/>
      <c r="O21" s="38" t="n">
        <f aca="false">$D21*N21</f>
        <v>0</v>
      </c>
      <c r="P21" s="40"/>
      <c r="Q21" s="38" t="n">
        <f aca="false">$D21*P21</f>
        <v>0</v>
      </c>
      <c r="R21" s="40"/>
      <c r="S21" s="38" t="n">
        <f aca="false">$D21*R21</f>
        <v>0</v>
      </c>
      <c r="T21" s="40"/>
      <c r="U21" s="38" t="n">
        <f aca="false">$D21*T21</f>
        <v>0</v>
      </c>
      <c r="V21" s="40"/>
      <c r="W21" s="38" t="n">
        <f aca="false">$D21*V21</f>
        <v>0</v>
      </c>
      <c r="X21" s="40"/>
      <c r="Y21" s="38" t="n">
        <f aca="false">$D21*X21</f>
        <v>0</v>
      </c>
      <c r="Z21" s="41"/>
      <c r="AA21" s="42" t="n">
        <f aca="false">$D21*Z21</f>
        <v>0</v>
      </c>
      <c r="AB21" s="43"/>
      <c r="AC21" s="42" t="n">
        <f aca="false">$D21*AB21</f>
        <v>0</v>
      </c>
      <c r="AD21" s="43"/>
      <c r="AE21" s="42" t="n">
        <f aca="false">$D21*AD21</f>
        <v>0</v>
      </c>
      <c r="AF21" s="43"/>
      <c r="AG21" s="42" t="n">
        <f aca="false">$D21*AF21</f>
        <v>0</v>
      </c>
      <c r="AH21" s="43"/>
      <c r="AI21" s="42" t="n">
        <f aca="false">$D21*AH21</f>
        <v>0</v>
      </c>
      <c r="AJ21" s="43"/>
      <c r="AK21" s="42" t="n">
        <f aca="false">$D21*AJ21</f>
        <v>0</v>
      </c>
      <c r="AL21" s="43"/>
      <c r="AM21" s="42" t="n">
        <f aca="false">$D21*AL21</f>
        <v>0</v>
      </c>
      <c r="AN21" s="43"/>
      <c r="AO21" s="42" t="n">
        <f aca="false">$D21*AN21</f>
        <v>0</v>
      </c>
      <c r="AP21" s="43"/>
      <c r="AQ21" s="42" t="n">
        <f aca="false">$D21*AP21</f>
        <v>0</v>
      </c>
      <c r="AR21" s="43"/>
      <c r="AS21" s="42" t="n">
        <f aca="false">$D21*AR21</f>
        <v>0</v>
      </c>
      <c r="AT21" s="43"/>
      <c r="AU21" s="42" t="n">
        <f aca="false">$D21*AT21</f>
        <v>0</v>
      </c>
      <c r="AV21" s="43"/>
      <c r="AW21" s="42" t="n">
        <f aca="false">$D21*AV21</f>
        <v>0</v>
      </c>
      <c r="AX21" s="43"/>
      <c r="AY21" s="42" t="n">
        <f aca="false">$D21*AX21</f>
        <v>0</v>
      </c>
      <c r="AZ21" s="44" t="n">
        <f aca="false">H21+J21+L21+N21+P21+R21+T21+V21+X21+Z21+AB21+AD21+AF21+AH21+AJ21+AL21+AN21+AP21+AR21+AT21+AV21+AX21</f>
        <v>0</v>
      </c>
      <c r="BA21" s="42" t="n">
        <f aca="false">$D21*AZ21</f>
        <v>0</v>
      </c>
    </row>
    <row r="22" customFormat="false" ht="18" hidden="false" customHeight="true" outlineLevel="0" collapsed="false">
      <c r="A22" s="0" t="s">
        <v>12</v>
      </c>
      <c r="B22" s="49" t="n">
        <v>52</v>
      </c>
      <c r="C22" s="50" t="s">
        <v>33</v>
      </c>
      <c r="D22" s="51" t="n">
        <v>40</v>
      </c>
      <c r="E22" s="34" t="n">
        <f aca="false">B22</f>
        <v>52</v>
      </c>
      <c r="F22" s="35" t="str">
        <f aca="false">C22</f>
        <v>Pastel de Camarão c/ queijo (06 unidades)</v>
      </c>
      <c r="G22" s="36" t="n">
        <f aca="false">D22</f>
        <v>40</v>
      </c>
      <c r="H22" s="37"/>
      <c r="I22" s="38" t="n">
        <f aca="false">$D22*H22</f>
        <v>0</v>
      </c>
      <c r="J22" s="39"/>
      <c r="K22" s="38" t="n">
        <f aca="false">$D22*J22</f>
        <v>0</v>
      </c>
      <c r="L22" s="39"/>
      <c r="M22" s="38" t="n">
        <f aca="false">$D22*L22</f>
        <v>0</v>
      </c>
      <c r="N22" s="40"/>
      <c r="O22" s="38" t="n">
        <f aca="false">$D22*N22</f>
        <v>0</v>
      </c>
      <c r="P22" s="40"/>
      <c r="Q22" s="38" t="n">
        <f aca="false">$D22*P22</f>
        <v>0</v>
      </c>
      <c r="R22" s="40"/>
      <c r="S22" s="38" t="n">
        <f aca="false">$D22*R22</f>
        <v>0</v>
      </c>
      <c r="T22" s="40"/>
      <c r="U22" s="38" t="n">
        <f aca="false">$D22*T22</f>
        <v>0</v>
      </c>
      <c r="V22" s="40"/>
      <c r="W22" s="38" t="n">
        <f aca="false">$D22*V22</f>
        <v>0</v>
      </c>
      <c r="X22" s="40"/>
      <c r="Y22" s="38" t="n">
        <f aca="false">$D22*X22</f>
        <v>0</v>
      </c>
      <c r="Z22" s="41"/>
      <c r="AA22" s="42" t="n">
        <f aca="false">$D22*Z22</f>
        <v>0</v>
      </c>
      <c r="AB22" s="43"/>
      <c r="AC22" s="42" t="n">
        <f aca="false">$D22*AB22</f>
        <v>0</v>
      </c>
      <c r="AD22" s="43"/>
      <c r="AE22" s="42" t="n">
        <f aca="false">$D22*AD22</f>
        <v>0</v>
      </c>
      <c r="AF22" s="43"/>
      <c r="AG22" s="42" t="n">
        <f aca="false">$D22*AF22</f>
        <v>0</v>
      </c>
      <c r="AH22" s="43"/>
      <c r="AI22" s="42" t="n">
        <f aca="false">$D22*AH22</f>
        <v>0</v>
      </c>
      <c r="AJ22" s="43"/>
      <c r="AK22" s="42" t="n">
        <f aca="false">$D22*AJ22</f>
        <v>0</v>
      </c>
      <c r="AL22" s="43"/>
      <c r="AM22" s="42" t="n">
        <f aca="false">$D22*AL22</f>
        <v>0</v>
      </c>
      <c r="AN22" s="43"/>
      <c r="AO22" s="42" t="n">
        <f aca="false">$D22*AN22</f>
        <v>0</v>
      </c>
      <c r="AP22" s="43"/>
      <c r="AQ22" s="42" t="n">
        <f aca="false">$D22*AP22</f>
        <v>0</v>
      </c>
      <c r="AR22" s="43"/>
      <c r="AS22" s="42" t="n">
        <f aca="false">$D22*AR22</f>
        <v>0</v>
      </c>
      <c r="AT22" s="43"/>
      <c r="AU22" s="42" t="n">
        <f aca="false">$D22*AT22</f>
        <v>0</v>
      </c>
      <c r="AV22" s="43"/>
      <c r="AW22" s="42" t="n">
        <f aca="false">$D22*AV22</f>
        <v>0</v>
      </c>
      <c r="AX22" s="43"/>
      <c r="AY22" s="42" t="n">
        <f aca="false">$D22*AX22</f>
        <v>0</v>
      </c>
      <c r="AZ22" s="44" t="n">
        <f aca="false">H22+J22+L22+N22+P22+R22+T22+V22+X22+Z22+AB22+AD22+AF22+AH22+AJ22+AL22+AN22+AP22+AR22+AT22+AV22+AX22</f>
        <v>0</v>
      </c>
      <c r="BA22" s="42" t="n">
        <f aca="false">$D22*AZ22</f>
        <v>0</v>
      </c>
    </row>
    <row r="23" customFormat="false" ht="18" hidden="false" customHeight="true" outlineLevel="0" collapsed="false">
      <c r="A23" s="0" t="s">
        <v>12</v>
      </c>
      <c r="B23" s="49" t="n">
        <v>53</v>
      </c>
      <c r="C23" s="50" t="s">
        <v>34</v>
      </c>
      <c r="D23" s="51" t="n">
        <v>40</v>
      </c>
      <c r="E23" s="34" t="n">
        <f aca="false">B23</f>
        <v>53</v>
      </c>
      <c r="F23" s="35" t="str">
        <f aca="false">C23</f>
        <v>Pastel de Carne Moida (06 unidades)</v>
      </c>
      <c r="G23" s="36" t="n">
        <f aca="false">D23</f>
        <v>40</v>
      </c>
      <c r="H23" s="37"/>
      <c r="I23" s="38" t="n">
        <f aca="false">$D23*H23</f>
        <v>0</v>
      </c>
      <c r="J23" s="39"/>
      <c r="K23" s="38" t="n">
        <f aca="false">$D23*J23</f>
        <v>0</v>
      </c>
      <c r="L23" s="39"/>
      <c r="M23" s="38" t="n">
        <f aca="false">$D23*L23</f>
        <v>0</v>
      </c>
      <c r="N23" s="40"/>
      <c r="O23" s="38" t="n">
        <f aca="false">$D23*N23</f>
        <v>0</v>
      </c>
      <c r="P23" s="40"/>
      <c r="Q23" s="38" t="n">
        <f aca="false">$D23*P23</f>
        <v>0</v>
      </c>
      <c r="R23" s="40"/>
      <c r="S23" s="38" t="n">
        <f aca="false">$D23*R23</f>
        <v>0</v>
      </c>
      <c r="T23" s="40"/>
      <c r="U23" s="38" t="n">
        <f aca="false">$D23*T23</f>
        <v>0</v>
      </c>
      <c r="V23" s="40"/>
      <c r="W23" s="38" t="n">
        <f aca="false">$D23*V23</f>
        <v>0</v>
      </c>
      <c r="X23" s="40"/>
      <c r="Y23" s="38" t="n">
        <f aca="false">$D23*X23</f>
        <v>0</v>
      </c>
      <c r="Z23" s="41"/>
      <c r="AA23" s="42" t="n">
        <f aca="false">$D23*Z23</f>
        <v>0</v>
      </c>
      <c r="AB23" s="43"/>
      <c r="AC23" s="42" t="n">
        <f aca="false">$D23*AB23</f>
        <v>0</v>
      </c>
      <c r="AD23" s="43"/>
      <c r="AE23" s="42" t="n">
        <f aca="false">$D23*AD23</f>
        <v>0</v>
      </c>
      <c r="AF23" s="43"/>
      <c r="AG23" s="42" t="n">
        <f aca="false">$D23*AF23</f>
        <v>0</v>
      </c>
      <c r="AH23" s="43"/>
      <c r="AI23" s="42" t="n">
        <f aca="false">$D23*AH23</f>
        <v>0</v>
      </c>
      <c r="AJ23" s="43"/>
      <c r="AK23" s="42" t="n">
        <f aca="false">$D23*AJ23</f>
        <v>0</v>
      </c>
      <c r="AL23" s="43"/>
      <c r="AM23" s="42" t="n">
        <f aca="false">$D23*AL23</f>
        <v>0</v>
      </c>
      <c r="AN23" s="43"/>
      <c r="AO23" s="42" t="n">
        <f aca="false">$D23*AN23</f>
        <v>0</v>
      </c>
      <c r="AP23" s="43"/>
      <c r="AQ23" s="42" t="n">
        <f aca="false">$D23*AP23</f>
        <v>0</v>
      </c>
      <c r="AR23" s="43"/>
      <c r="AS23" s="42" t="n">
        <f aca="false">$D23*AR23</f>
        <v>0</v>
      </c>
      <c r="AT23" s="43"/>
      <c r="AU23" s="42" t="n">
        <f aca="false">$D23*AT23</f>
        <v>0</v>
      </c>
      <c r="AV23" s="43"/>
      <c r="AW23" s="42" t="n">
        <f aca="false">$D23*AV23</f>
        <v>0</v>
      </c>
      <c r="AX23" s="43"/>
      <c r="AY23" s="42" t="n">
        <f aca="false">$D23*AX23</f>
        <v>0</v>
      </c>
      <c r="AZ23" s="44" t="n">
        <f aca="false">H23+J23+L23+N23+P23+R23+T23+V23+X23+Z23+AB23+AD23+AF23+AH23+AJ23+AL23+AN23+AP23+AR23+AT23+AV23+AX23</f>
        <v>0</v>
      </c>
      <c r="BA23" s="42" t="n">
        <f aca="false">$D23*AZ23</f>
        <v>0</v>
      </c>
    </row>
    <row r="24" customFormat="false" ht="18" hidden="false" customHeight="true" outlineLevel="0" collapsed="false">
      <c r="A24" s="0" t="s">
        <v>12</v>
      </c>
      <c r="B24" s="49" t="n">
        <v>54</v>
      </c>
      <c r="C24" s="50" t="s">
        <v>35</v>
      </c>
      <c r="D24" s="51" t="n">
        <v>25</v>
      </c>
      <c r="E24" s="34" t="n">
        <f aca="false">B24</f>
        <v>54</v>
      </c>
      <c r="F24" s="35" t="str">
        <f aca="false">C24</f>
        <v>Polenta Frita c/ Queijo Parmesão</v>
      </c>
      <c r="G24" s="36" t="n">
        <f aca="false">D24</f>
        <v>25</v>
      </c>
      <c r="H24" s="37"/>
      <c r="I24" s="38" t="n">
        <f aca="false">$D24*H24</f>
        <v>0</v>
      </c>
      <c r="J24" s="39"/>
      <c r="K24" s="38" t="n">
        <f aca="false">$D24*J24</f>
        <v>0</v>
      </c>
      <c r="L24" s="39"/>
      <c r="M24" s="38" t="n">
        <f aca="false">$D24*L24</f>
        <v>0</v>
      </c>
      <c r="N24" s="40"/>
      <c r="O24" s="38" t="n">
        <f aca="false">$D24*N24</f>
        <v>0</v>
      </c>
      <c r="P24" s="40"/>
      <c r="Q24" s="38" t="n">
        <f aca="false">$D24*P24</f>
        <v>0</v>
      </c>
      <c r="R24" s="40"/>
      <c r="S24" s="38" t="n">
        <f aca="false">$D24*R24</f>
        <v>0</v>
      </c>
      <c r="T24" s="40"/>
      <c r="U24" s="38" t="n">
        <f aca="false">$D24*T24</f>
        <v>0</v>
      </c>
      <c r="V24" s="40"/>
      <c r="W24" s="38" t="n">
        <f aca="false">$D24*V24</f>
        <v>0</v>
      </c>
      <c r="X24" s="40"/>
      <c r="Y24" s="38" t="n">
        <f aca="false">$D24*X24</f>
        <v>0</v>
      </c>
      <c r="Z24" s="41"/>
      <c r="AA24" s="42" t="n">
        <f aca="false">$D24*Z24</f>
        <v>0</v>
      </c>
      <c r="AB24" s="43"/>
      <c r="AC24" s="42" t="n">
        <f aca="false">$D24*AB24</f>
        <v>0</v>
      </c>
      <c r="AD24" s="43"/>
      <c r="AE24" s="42" t="n">
        <f aca="false">$D24*AD24</f>
        <v>0</v>
      </c>
      <c r="AF24" s="43"/>
      <c r="AG24" s="42" t="n">
        <f aca="false">$D24*AF24</f>
        <v>0</v>
      </c>
      <c r="AH24" s="43"/>
      <c r="AI24" s="42" t="n">
        <f aca="false">$D24*AH24</f>
        <v>0</v>
      </c>
      <c r="AJ24" s="43"/>
      <c r="AK24" s="42" t="n">
        <f aca="false">$D24*AJ24</f>
        <v>0</v>
      </c>
      <c r="AL24" s="43"/>
      <c r="AM24" s="42" t="n">
        <f aca="false">$D24*AL24</f>
        <v>0</v>
      </c>
      <c r="AN24" s="43"/>
      <c r="AO24" s="42" t="n">
        <f aca="false">$D24*AN24</f>
        <v>0</v>
      </c>
      <c r="AP24" s="43"/>
      <c r="AQ24" s="42" t="n">
        <f aca="false">$D24*AP24</f>
        <v>0</v>
      </c>
      <c r="AR24" s="43"/>
      <c r="AS24" s="42" t="n">
        <f aca="false">$D24*AR24</f>
        <v>0</v>
      </c>
      <c r="AT24" s="43"/>
      <c r="AU24" s="42" t="n">
        <f aca="false">$D24*AT24</f>
        <v>0</v>
      </c>
      <c r="AV24" s="43"/>
      <c r="AW24" s="42" t="n">
        <f aca="false">$D24*AV24</f>
        <v>0</v>
      </c>
      <c r="AX24" s="43"/>
      <c r="AY24" s="42" t="n">
        <f aca="false">$D24*AX24</f>
        <v>0</v>
      </c>
      <c r="AZ24" s="44" t="n">
        <f aca="false">H24+J24+L24+N24+P24+R24+T24+V24+X24+Z24+AB24+AD24+AF24+AH24+AJ24+AL24+AN24+AP24+AR24+AT24+AV24+AX24</f>
        <v>0</v>
      </c>
      <c r="BA24" s="42" t="n">
        <f aca="false">$D24*AZ24</f>
        <v>0</v>
      </c>
    </row>
    <row r="25" customFormat="false" ht="16.5" hidden="true" customHeight="true" outlineLevel="0" collapsed="false">
      <c r="A25" s="0" t="s">
        <v>15</v>
      </c>
      <c r="B25" s="45" t="n">
        <v>55</v>
      </c>
      <c r="C25" s="35" t="s">
        <v>36</v>
      </c>
      <c r="D25" s="36" t="n">
        <v>25</v>
      </c>
      <c r="E25" s="34" t="n">
        <f aca="false">B25</f>
        <v>55</v>
      </c>
      <c r="F25" s="35" t="str">
        <f aca="false">C25</f>
        <v>Pratinho de Vatapá de Frango c/ Arroz, Paçoca e Calabresa</v>
      </c>
      <c r="G25" s="36" t="n">
        <f aca="false">D25</f>
        <v>25</v>
      </c>
      <c r="H25" s="37"/>
      <c r="I25" s="38" t="n">
        <f aca="false">$D25*H25</f>
        <v>0</v>
      </c>
      <c r="J25" s="39"/>
      <c r="K25" s="38" t="n">
        <f aca="false">$D25*J25</f>
        <v>0</v>
      </c>
      <c r="L25" s="39"/>
      <c r="M25" s="38" t="n">
        <f aca="false">$D25*L25</f>
        <v>0</v>
      </c>
      <c r="N25" s="40"/>
      <c r="O25" s="38" t="n">
        <f aca="false">$D25*N25</f>
        <v>0</v>
      </c>
      <c r="P25" s="40"/>
      <c r="Q25" s="38" t="n">
        <f aca="false">$D25*P25</f>
        <v>0</v>
      </c>
      <c r="R25" s="40"/>
      <c r="S25" s="38" t="n">
        <f aca="false">$D25*R25</f>
        <v>0</v>
      </c>
      <c r="T25" s="40"/>
      <c r="U25" s="38" t="n">
        <f aca="false">$D25*T25</f>
        <v>0</v>
      </c>
      <c r="V25" s="40"/>
      <c r="W25" s="38" t="n">
        <f aca="false">$D25*V25</f>
        <v>0</v>
      </c>
      <c r="X25" s="40"/>
      <c r="Y25" s="38" t="n">
        <f aca="false">$D25*X25</f>
        <v>0</v>
      </c>
      <c r="Z25" s="41"/>
      <c r="AA25" s="42" t="n">
        <f aca="false">$D25*Z25</f>
        <v>0</v>
      </c>
      <c r="AB25" s="43"/>
      <c r="AC25" s="42" t="n">
        <f aca="false">$D25*AB25</f>
        <v>0</v>
      </c>
      <c r="AD25" s="43"/>
      <c r="AE25" s="42" t="n">
        <f aca="false">$D25*AD25</f>
        <v>0</v>
      </c>
      <c r="AF25" s="43"/>
      <c r="AG25" s="42" t="n">
        <f aca="false">$D25*AF25</f>
        <v>0</v>
      </c>
      <c r="AH25" s="43"/>
      <c r="AI25" s="42" t="n">
        <f aca="false">$D25*AH25</f>
        <v>0</v>
      </c>
      <c r="AJ25" s="43"/>
      <c r="AK25" s="42" t="n">
        <f aca="false">$D25*AJ25</f>
        <v>0</v>
      </c>
      <c r="AL25" s="43"/>
      <c r="AM25" s="42" t="n">
        <f aca="false">$D25*AL25</f>
        <v>0</v>
      </c>
      <c r="AN25" s="43"/>
      <c r="AO25" s="42" t="n">
        <f aca="false">$D25*AN25</f>
        <v>0</v>
      </c>
      <c r="AP25" s="43"/>
      <c r="AQ25" s="42" t="n">
        <f aca="false">$D25*AP25</f>
        <v>0</v>
      </c>
      <c r="AR25" s="43"/>
      <c r="AS25" s="42" t="n">
        <f aca="false">$D25*AR25</f>
        <v>0</v>
      </c>
      <c r="AT25" s="43"/>
      <c r="AU25" s="42" t="n">
        <f aca="false">$D25*AT25</f>
        <v>0</v>
      </c>
      <c r="AV25" s="43"/>
      <c r="AW25" s="42" t="n">
        <f aca="false">$D25*AV25</f>
        <v>0</v>
      </c>
      <c r="AX25" s="43"/>
      <c r="AY25" s="42" t="n">
        <f aca="false">$D25*AX25</f>
        <v>0</v>
      </c>
      <c r="AZ25" s="44" t="n">
        <f aca="false">H25+J25+L25+N25+P25+R25+T25+V25+X25+Z25+AB25+AD25+AF25+AH25+AJ25+AL25+AN25+AP25+AR25+AT25+AV25+AX25</f>
        <v>0</v>
      </c>
      <c r="BA25" s="42" t="n">
        <f aca="false">$D25*AZ25</f>
        <v>0</v>
      </c>
    </row>
    <row r="26" customFormat="false" ht="16.5" hidden="true" customHeight="true" outlineLevel="0" collapsed="false">
      <c r="A26" s="0" t="s">
        <v>15</v>
      </c>
      <c r="B26" s="52" t="n">
        <v>56</v>
      </c>
      <c r="C26" s="53" t="s">
        <v>37</v>
      </c>
      <c r="D26" s="54" t="n">
        <v>40</v>
      </c>
      <c r="E26" s="34" t="n">
        <f aca="false">B26</f>
        <v>56</v>
      </c>
      <c r="F26" s="35" t="str">
        <f aca="false">C26</f>
        <v>Risoles de Camarão (06 unidades)</v>
      </c>
      <c r="G26" s="36" t="n">
        <f aca="false">D26</f>
        <v>40</v>
      </c>
      <c r="H26" s="37"/>
      <c r="I26" s="38" t="n">
        <f aca="false">$D26*H26</f>
        <v>0</v>
      </c>
      <c r="J26" s="39"/>
      <c r="K26" s="38" t="n">
        <f aca="false">$D26*J26</f>
        <v>0</v>
      </c>
      <c r="L26" s="39"/>
      <c r="M26" s="38" t="n">
        <f aca="false">$D26*L26</f>
        <v>0</v>
      </c>
      <c r="N26" s="40"/>
      <c r="O26" s="38" t="n">
        <f aca="false">$D26*N26</f>
        <v>0</v>
      </c>
      <c r="P26" s="40"/>
      <c r="Q26" s="38" t="n">
        <f aca="false">$D26*P26</f>
        <v>0</v>
      </c>
      <c r="R26" s="40"/>
      <c r="S26" s="38" t="n">
        <f aca="false">$D26*R26</f>
        <v>0</v>
      </c>
      <c r="T26" s="40"/>
      <c r="U26" s="38" t="n">
        <f aca="false">$D26*T26</f>
        <v>0</v>
      </c>
      <c r="V26" s="40"/>
      <c r="W26" s="38" t="n">
        <f aca="false">$D26*V26</f>
        <v>0</v>
      </c>
      <c r="X26" s="40"/>
      <c r="Y26" s="38" t="n">
        <f aca="false">$D26*X26</f>
        <v>0</v>
      </c>
      <c r="Z26" s="41"/>
      <c r="AA26" s="42" t="n">
        <f aca="false">$D26*Z26</f>
        <v>0</v>
      </c>
      <c r="AB26" s="43"/>
      <c r="AC26" s="42" t="n">
        <f aca="false">$D26*AB26</f>
        <v>0</v>
      </c>
      <c r="AD26" s="43"/>
      <c r="AE26" s="42" t="n">
        <f aca="false">$D26*AD26</f>
        <v>0</v>
      </c>
      <c r="AF26" s="43"/>
      <c r="AG26" s="42" t="n">
        <f aca="false">$D26*AF26</f>
        <v>0</v>
      </c>
      <c r="AH26" s="43"/>
      <c r="AI26" s="42" t="n">
        <f aca="false">$D26*AH26</f>
        <v>0</v>
      </c>
      <c r="AJ26" s="43"/>
      <c r="AK26" s="42" t="n">
        <f aca="false">$D26*AJ26</f>
        <v>0</v>
      </c>
      <c r="AL26" s="43"/>
      <c r="AM26" s="42" t="n">
        <f aca="false">$D26*AL26</f>
        <v>0</v>
      </c>
      <c r="AN26" s="43"/>
      <c r="AO26" s="42" t="n">
        <f aca="false">$D26*AN26</f>
        <v>0</v>
      </c>
      <c r="AP26" s="43"/>
      <c r="AQ26" s="42" t="n">
        <f aca="false">$D26*AP26</f>
        <v>0</v>
      </c>
      <c r="AR26" s="43"/>
      <c r="AS26" s="42" t="n">
        <f aca="false">$D26*AR26</f>
        <v>0</v>
      </c>
      <c r="AT26" s="43"/>
      <c r="AU26" s="42" t="n">
        <f aca="false">$D26*AT26</f>
        <v>0</v>
      </c>
      <c r="AV26" s="43"/>
      <c r="AW26" s="42" t="n">
        <f aca="false">$D26*AV26</f>
        <v>0</v>
      </c>
      <c r="AX26" s="43"/>
      <c r="AY26" s="42" t="n">
        <f aca="false">$D26*AX26</f>
        <v>0</v>
      </c>
      <c r="AZ26" s="44" t="n">
        <f aca="false">H26+J26+L26+N26+P26+R26+T26+V26+X26+Z26+AB26+AD26+AF26+AH26+AJ26+AL26+AN26+AP26+AR26+AT26+AV26+AX26</f>
        <v>0</v>
      </c>
      <c r="BA26" s="42" t="n">
        <f aca="false">$D26*AZ26</f>
        <v>0</v>
      </c>
    </row>
    <row r="27" customFormat="false" ht="16.5" hidden="true" customHeight="true" outlineLevel="0" collapsed="false">
      <c r="A27" s="0" t="s">
        <v>15</v>
      </c>
      <c r="B27" s="59" t="n">
        <v>28</v>
      </c>
      <c r="C27" s="60" t="s">
        <v>38</v>
      </c>
      <c r="D27" s="61" t="n">
        <v>30</v>
      </c>
      <c r="E27" s="34" t="n">
        <f aca="false">B27</f>
        <v>28</v>
      </c>
      <c r="F27" s="35" t="str">
        <f aca="false">C27</f>
        <v>Unha de Carangueijo (05 unidades)</v>
      </c>
      <c r="G27" s="36" t="n">
        <f aca="false">D27</f>
        <v>30</v>
      </c>
      <c r="H27" s="37"/>
      <c r="I27" s="38" t="n">
        <f aca="false">$D27*H27</f>
        <v>0</v>
      </c>
      <c r="J27" s="39"/>
      <c r="K27" s="38" t="n">
        <f aca="false">$D27*J27</f>
        <v>0</v>
      </c>
      <c r="L27" s="39"/>
      <c r="M27" s="38" t="n">
        <f aca="false">$D27*L27</f>
        <v>0</v>
      </c>
      <c r="N27" s="40"/>
      <c r="O27" s="38" t="n">
        <f aca="false">$D27*N27</f>
        <v>0</v>
      </c>
      <c r="P27" s="40"/>
      <c r="Q27" s="38" t="n">
        <f aca="false">$D27*P27</f>
        <v>0</v>
      </c>
      <c r="R27" s="40"/>
      <c r="S27" s="38" t="n">
        <f aca="false">$D27*R27</f>
        <v>0</v>
      </c>
      <c r="T27" s="40"/>
      <c r="U27" s="38" t="n">
        <f aca="false">$D27*T27</f>
        <v>0</v>
      </c>
      <c r="V27" s="40"/>
      <c r="W27" s="38" t="n">
        <f aca="false">$D27*V27</f>
        <v>0</v>
      </c>
      <c r="X27" s="40"/>
      <c r="Y27" s="38" t="n">
        <f aca="false">$D27*X27</f>
        <v>0</v>
      </c>
      <c r="Z27" s="41"/>
      <c r="AA27" s="42" t="n">
        <f aca="false">$D27*Z27</f>
        <v>0</v>
      </c>
      <c r="AB27" s="43"/>
      <c r="AC27" s="42" t="n">
        <f aca="false">$D27*AB27</f>
        <v>0</v>
      </c>
      <c r="AD27" s="43"/>
      <c r="AE27" s="42" t="n">
        <f aca="false">$D27*AD27</f>
        <v>0</v>
      </c>
      <c r="AF27" s="43"/>
      <c r="AG27" s="42" t="n">
        <f aca="false">$D27*AF27</f>
        <v>0</v>
      </c>
      <c r="AH27" s="43"/>
      <c r="AI27" s="42" t="n">
        <f aca="false">$D27*AH27</f>
        <v>0</v>
      </c>
      <c r="AJ27" s="43"/>
      <c r="AK27" s="42" t="n">
        <f aca="false">$D27*AJ27</f>
        <v>0</v>
      </c>
      <c r="AL27" s="43"/>
      <c r="AM27" s="42" t="n">
        <f aca="false">$D27*AL27</f>
        <v>0</v>
      </c>
      <c r="AN27" s="43"/>
      <c r="AO27" s="42" t="n">
        <f aca="false">$D27*AN27</f>
        <v>0</v>
      </c>
      <c r="AP27" s="43"/>
      <c r="AQ27" s="42" t="n">
        <f aca="false">$D27*AP27</f>
        <v>0</v>
      </c>
      <c r="AR27" s="43"/>
      <c r="AS27" s="42" t="n">
        <f aca="false">$D27*AR27</f>
        <v>0</v>
      </c>
      <c r="AT27" s="43"/>
      <c r="AU27" s="42" t="n">
        <f aca="false">$D27*AT27</f>
        <v>0</v>
      </c>
      <c r="AV27" s="43"/>
      <c r="AW27" s="42" t="n">
        <f aca="false">$D27*AV27</f>
        <v>0</v>
      </c>
      <c r="AX27" s="43"/>
      <c r="AY27" s="42" t="n">
        <f aca="false">$D27*AX27</f>
        <v>0</v>
      </c>
      <c r="AZ27" s="44" t="n">
        <f aca="false">H27+J27+L27+N27+P27+R27+T27+V27+X27+Z27+AB27+AD27+AF27+AH27+AJ27+AL27+AN27+AP27+AR27+AT27+AV27+AX27</f>
        <v>0</v>
      </c>
      <c r="BA27" s="42" t="n">
        <f aca="false">$D27*AZ27</f>
        <v>0</v>
      </c>
    </row>
    <row r="28" customFormat="false" ht="18" hidden="false" customHeight="true" outlineLevel="0" collapsed="false">
      <c r="A28" s="0" t="s">
        <v>12</v>
      </c>
      <c r="B28" s="62"/>
      <c r="C28" s="63" t="s">
        <v>39</v>
      </c>
      <c r="D28" s="64"/>
      <c r="E28" s="65"/>
      <c r="F28" s="66" t="s">
        <v>39</v>
      </c>
      <c r="G28" s="67"/>
      <c r="H28" s="39"/>
      <c r="I28" s="38" t="n">
        <f aca="false">$D28*H28</f>
        <v>0</v>
      </c>
      <c r="J28" s="39"/>
      <c r="K28" s="38" t="n">
        <f aca="false">$D28*J28</f>
        <v>0</v>
      </c>
      <c r="L28" s="39"/>
      <c r="M28" s="38" t="n">
        <f aca="false">$D28*L28</f>
        <v>0</v>
      </c>
      <c r="N28" s="40"/>
      <c r="O28" s="38" t="n">
        <f aca="false">$D28*N28</f>
        <v>0</v>
      </c>
      <c r="P28" s="40"/>
      <c r="Q28" s="38" t="n">
        <f aca="false">$D28*P28</f>
        <v>0</v>
      </c>
      <c r="R28" s="40"/>
      <c r="S28" s="38" t="n">
        <f aca="false">$D28*R28</f>
        <v>0</v>
      </c>
      <c r="T28" s="40"/>
      <c r="U28" s="38" t="n">
        <f aca="false">$D28*T28</f>
        <v>0</v>
      </c>
      <c r="V28" s="40"/>
      <c r="W28" s="38" t="n">
        <f aca="false">$D28*V28</f>
        <v>0</v>
      </c>
      <c r="X28" s="40"/>
      <c r="Y28" s="38" t="n">
        <f aca="false">$D28*X28</f>
        <v>0</v>
      </c>
      <c r="Z28" s="41"/>
      <c r="AA28" s="42" t="n">
        <f aca="false">$D28*Z28</f>
        <v>0</v>
      </c>
      <c r="AB28" s="43"/>
      <c r="AC28" s="42" t="n">
        <f aca="false">$D28*AB28</f>
        <v>0</v>
      </c>
      <c r="AD28" s="43"/>
      <c r="AE28" s="42" t="n">
        <f aca="false">$D28*AD28</f>
        <v>0</v>
      </c>
      <c r="AF28" s="43"/>
      <c r="AG28" s="42" t="n">
        <f aca="false">$D28*AF28</f>
        <v>0</v>
      </c>
      <c r="AH28" s="43"/>
      <c r="AI28" s="42" t="n">
        <f aca="false">$D28*AH28</f>
        <v>0</v>
      </c>
      <c r="AJ28" s="43"/>
      <c r="AK28" s="42" t="n">
        <f aca="false">$D28*AJ28</f>
        <v>0</v>
      </c>
      <c r="AL28" s="43"/>
      <c r="AM28" s="42" t="n">
        <f aca="false">$D28*AL28</f>
        <v>0</v>
      </c>
      <c r="AN28" s="43"/>
      <c r="AO28" s="42" t="n">
        <f aca="false">$D28*AN28</f>
        <v>0</v>
      </c>
      <c r="AP28" s="43"/>
      <c r="AQ28" s="42" t="n">
        <f aca="false">$D28*AP28</f>
        <v>0</v>
      </c>
      <c r="AR28" s="43"/>
      <c r="AS28" s="42" t="n">
        <f aca="false">$D28*AR28</f>
        <v>0</v>
      </c>
      <c r="AT28" s="43"/>
      <c r="AU28" s="42" t="n">
        <f aca="false">$D28*AT28</f>
        <v>0</v>
      </c>
      <c r="AV28" s="43"/>
      <c r="AW28" s="42" t="n">
        <f aca="false">$D28*AV28</f>
        <v>0</v>
      </c>
      <c r="AX28" s="43"/>
      <c r="AY28" s="42" t="n">
        <f aca="false">$D28*AX28</f>
        <v>0</v>
      </c>
      <c r="AZ28" s="44" t="n">
        <f aca="false">H28+J28+L28+N28+P28+R28+T28+V28+X28+Z28+AB28+AD28+AF28+AH28+AJ28+AL28+AN28+AP28+AR28+AT28+AV28+AX28</f>
        <v>0</v>
      </c>
      <c r="BA28" s="42" t="n">
        <f aca="false">$D28*AZ28</f>
        <v>0</v>
      </c>
    </row>
    <row r="29" customFormat="false" ht="18" hidden="false" customHeight="true" outlineLevel="0" collapsed="false">
      <c r="A29" s="0" t="s">
        <v>12</v>
      </c>
      <c r="B29" s="68" t="n">
        <v>7</v>
      </c>
      <c r="C29" s="69" t="s">
        <v>40</v>
      </c>
      <c r="D29" s="58" t="n">
        <v>12</v>
      </c>
      <c r="E29" s="70" t="n">
        <f aca="false">B29</f>
        <v>7</v>
      </c>
      <c r="F29" s="35" t="str">
        <f aca="false">C29</f>
        <v>Cachaça de Banana</v>
      </c>
      <c r="G29" s="36" t="n">
        <f aca="false">D29</f>
        <v>12</v>
      </c>
      <c r="H29" s="39"/>
      <c r="I29" s="38" t="n">
        <f aca="false">$D29*H29</f>
        <v>0</v>
      </c>
      <c r="J29" s="39"/>
      <c r="K29" s="38" t="n">
        <f aca="false">$D29*J29</f>
        <v>0</v>
      </c>
      <c r="L29" s="39"/>
      <c r="M29" s="38" t="n">
        <f aca="false">$D29*L29</f>
        <v>0</v>
      </c>
      <c r="N29" s="40"/>
      <c r="O29" s="38" t="n">
        <f aca="false">$D29*N29</f>
        <v>0</v>
      </c>
      <c r="P29" s="40"/>
      <c r="Q29" s="38" t="n">
        <f aca="false">$D29*P29</f>
        <v>0</v>
      </c>
      <c r="R29" s="40"/>
      <c r="S29" s="38" t="n">
        <f aca="false">$D29*R29</f>
        <v>0</v>
      </c>
      <c r="T29" s="40"/>
      <c r="U29" s="38" t="n">
        <f aca="false">$D29*T29</f>
        <v>0</v>
      </c>
      <c r="V29" s="40"/>
      <c r="W29" s="38" t="n">
        <f aca="false">$D29*V29</f>
        <v>0</v>
      </c>
      <c r="X29" s="40"/>
      <c r="Y29" s="38" t="n">
        <f aca="false">$D29*X29</f>
        <v>0</v>
      </c>
      <c r="Z29" s="41"/>
      <c r="AA29" s="42" t="n">
        <f aca="false">$D29*Z29</f>
        <v>0</v>
      </c>
      <c r="AB29" s="43"/>
      <c r="AC29" s="42" t="n">
        <f aca="false">$D29*AB29</f>
        <v>0</v>
      </c>
      <c r="AD29" s="43"/>
      <c r="AE29" s="42" t="n">
        <f aca="false">$D29*AD29</f>
        <v>0</v>
      </c>
      <c r="AF29" s="43"/>
      <c r="AG29" s="42" t="n">
        <f aca="false">$D29*AF29</f>
        <v>0</v>
      </c>
      <c r="AH29" s="43"/>
      <c r="AI29" s="42" t="n">
        <f aca="false">$D29*AH29</f>
        <v>0</v>
      </c>
      <c r="AJ29" s="43"/>
      <c r="AK29" s="42" t="n">
        <f aca="false">$D29*AJ29</f>
        <v>0</v>
      </c>
      <c r="AL29" s="43"/>
      <c r="AM29" s="42" t="n">
        <f aca="false">$D29*AL29</f>
        <v>0</v>
      </c>
      <c r="AN29" s="43"/>
      <c r="AO29" s="42" t="n">
        <f aca="false">$D29*AN29</f>
        <v>0</v>
      </c>
      <c r="AP29" s="43"/>
      <c r="AQ29" s="42" t="n">
        <f aca="false">$D29*AP29</f>
        <v>0</v>
      </c>
      <c r="AR29" s="43"/>
      <c r="AS29" s="42" t="n">
        <f aca="false">$D29*AR29</f>
        <v>0</v>
      </c>
      <c r="AT29" s="43"/>
      <c r="AU29" s="42" t="n">
        <f aca="false">$D29*AT29</f>
        <v>0</v>
      </c>
      <c r="AV29" s="43"/>
      <c r="AW29" s="42" t="n">
        <f aca="false">$D29*AV29</f>
        <v>0</v>
      </c>
      <c r="AX29" s="43"/>
      <c r="AY29" s="42" t="n">
        <f aca="false">$D29*AX29</f>
        <v>0</v>
      </c>
      <c r="AZ29" s="44" t="n">
        <f aca="false">H29+J29+L29+N29+P29+R29+T29+V29+X29+Z29+AB29+AD29+AF29+AH29+AJ29+AL29+AN29+AP29+AR29+AT29+AV29+AX29</f>
        <v>0</v>
      </c>
      <c r="BA29" s="42" t="n">
        <f aca="false">$D29*AZ29</f>
        <v>0</v>
      </c>
    </row>
    <row r="30" customFormat="false" ht="18" hidden="false" customHeight="true" outlineLevel="0" collapsed="false">
      <c r="A30" s="0" t="s">
        <v>12</v>
      </c>
      <c r="B30" s="71" t="n">
        <v>5</v>
      </c>
      <c r="C30" s="50" t="s">
        <v>41</v>
      </c>
      <c r="D30" s="51" t="n">
        <v>12</v>
      </c>
      <c r="E30" s="70" t="n">
        <f aca="false">B30</f>
        <v>5</v>
      </c>
      <c r="F30" s="35" t="str">
        <f aca="false">C30</f>
        <v>Cachaça Matuta Black Blend</v>
      </c>
      <c r="G30" s="36" t="n">
        <f aca="false">D30</f>
        <v>12</v>
      </c>
      <c r="H30" s="39"/>
      <c r="I30" s="38" t="n">
        <f aca="false">$D30*H30</f>
        <v>0</v>
      </c>
      <c r="J30" s="39"/>
      <c r="K30" s="38" t="n">
        <f aca="false">$D30*J30</f>
        <v>0</v>
      </c>
      <c r="L30" s="39"/>
      <c r="M30" s="38" t="n">
        <f aca="false">$D30*L30</f>
        <v>0</v>
      </c>
      <c r="N30" s="40"/>
      <c r="O30" s="38" t="n">
        <f aca="false">$D30*N30</f>
        <v>0</v>
      </c>
      <c r="P30" s="40"/>
      <c r="Q30" s="38" t="n">
        <f aca="false">$D30*P30</f>
        <v>0</v>
      </c>
      <c r="R30" s="40"/>
      <c r="S30" s="38" t="n">
        <f aca="false">$D30*R30</f>
        <v>0</v>
      </c>
      <c r="T30" s="40"/>
      <c r="U30" s="38" t="n">
        <f aca="false">$D30*T30</f>
        <v>0</v>
      </c>
      <c r="V30" s="40"/>
      <c r="W30" s="38" t="n">
        <f aca="false">$D30*V30</f>
        <v>0</v>
      </c>
      <c r="X30" s="40"/>
      <c r="Y30" s="38" t="n">
        <f aca="false">$D30*X30</f>
        <v>0</v>
      </c>
      <c r="Z30" s="41"/>
      <c r="AA30" s="42" t="n">
        <f aca="false">$D30*Z30</f>
        <v>0</v>
      </c>
      <c r="AB30" s="43"/>
      <c r="AC30" s="42" t="n">
        <f aca="false">$D30*AB30</f>
        <v>0</v>
      </c>
      <c r="AD30" s="43"/>
      <c r="AE30" s="42" t="n">
        <f aca="false">$D30*AD30</f>
        <v>0</v>
      </c>
      <c r="AF30" s="43"/>
      <c r="AG30" s="42" t="n">
        <f aca="false">$D30*AF30</f>
        <v>0</v>
      </c>
      <c r="AH30" s="43"/>
      <c r="AI30" s="42" t="n">
        <f aca="false">$D30*AH30</f>
        <v>0</v>
      </c>
      <c r="AJ30" s="43"/>
      <c r="AK30" s="42" t="n">
        <f aca="false">$D30*AJ30</f>
        <v>0</v>
      </c>
      <c r="AL30" s="43"/>
      <c r="AM30" s="42" t="n">
        <f aca="false">$D30*AL30</f>
        <v>0</v>
      </c>
      <c r="AN30" s="43"/>
      <c r="AO30" s="42" t="n">
        <f aca="false">$D30*AN30</f>
        <v>0</v>
      </c>
      <c r="AP30" s="43"/>
      <c r="AQ30" s="42" t="n">
        <f aca="false">$D30*AP30</f>
        <v>0</v>
      </c>
      <c r="AR30" s="43"/>
      <c r="AS30" s="42" t="n">
        <f aca="false">$D30*AR30</f>
        <v>0</v>
      </c>
      <c r="AT30" s="43"/>
      <c r="AU30" s="42" t="n">
        <f aca="false">$D30*AT30</f>
        <v>0</v>
      </c>
      <c r="AV30" s="43"/>
      <c r="AW30" s="42" t="n">
        <f aca="false">$D30*AV30</f>
        <v>0</v>
      </c>
      <c r="AX30" s="43"/>
      <c r="AY30" s="42" t="n">
        <f aca="false">$D30*AX30</f>
        <v>0</v>
      </c>
      <c r="AZ30" s="44" t="n">
        <f aca="false">H30+J30+L30+N30+P30+R30+T30+V30+X30+Z30+AB30+AD30+AF30+AH30+AJ30+AL30+AN30+AP30+AR30+AT30+AV30+AX30</f>
        <v>0</v>
      </c>
      <c r="BA30" s="42" t="n">
        <f aca="false">$D30*AZ30</f>
        <v>0</v>
      </c>
    </row>
    <row r="31" customFormat="false" ht="18" hidden="false" customHeight="true" outlineLevel="0" collapsed="false">
      <c r="A31" s="0" t="s">
        <v>12</v>
      </c>
      <c r="B31" s="71" t="n">
        <v>4</v>
      </c>
      <c r="C31" s="50" t="s">
        <v>42</v>
      </c>
      <c r="D31" s="51" t="n">
        <v>12</v>
      </c>
      <c r="E31" s="70" t="n">
        <f aca="false">B31</f>
        <v>4</v>
      </c>
      <c r="F31" s="35" t="str">
        <f aca="false">C31</f>
        <v>Cachaça Matuta Cristal</v>
      </c>
      <c r="G31" s="36" t="n">
        <f aca="false">D31</f>
        <v>12</v>
      </c>
      <c r="H31" s="39"/>
      <c r="I31" s="38" t="n">
        <f aca="false">$D31*H31</f>
        <v>0</v>
      </c>
      <c r="J31" s="39"/>
      <c r="K31" s="38" t="n">
        <f aca="false">$D31*J31</f>
        <v>0</v>
      </c>
      <c r="L31" s="39"/>
      <c r="M31" s="38" t="n">
        <f aca="false">$D31*L31</f>
        <v>0</v>
      </c>
      <c r="N31" s="40"/>
      <c r="O31" s="38" t="n">
        <f aca="false">$D31*N31</f>
        <v>0</v>
      </c>
      <c r="P31" s="40"/>
      <c r="Q31" s="38" t="n">
        <f aca="false">$D31*P31</f>
        <v>0</v>
      </c>
      <c r="R31" s="40"/>
      <c r="S31" s="38" t="n">
        <f aca="false">$D31*R31</f>
        <v>0</v>
      </c>
      <c r="T31" s="40"/>
      <c r="U31" s="38" t="n">
        <f aca="false">$D31*T31</f>
        <v>0</v>
      </c>
      <c r="V31" s="40"/>
      <c r="W31" s="38" t="n">
        <f aca="false">$D31*V31</f>
        <v>0</v>
      </c>
      <c r="X31" s="40"/>
      <c r="Y31" s="38" t="n">
        <f aca="false">$D31*X31</f>
        <v>0</v>
      </c>
      <c r="Z31" s="41"/>
      <c r="AA31" s="42" t="n">
        <f aca="false">$D31*Z31</f>
        <v>0</v>
      </c>
      <c r="AB31" s="43"/>
      <c r="AC31" s="42" t="n">
        <f aca="false">$D31*AB31</f>
        <v>0</v>
      </c>
      <c r="AD31" s="43"/>
      <c r="AE31" s="42" t="n">
        <f aca="false">$D31*AD31</f>
        <v>0</v>
      </c>
      <c r="AF31" s="43"/>
      <c r="AG31" s="42" t="n">
        <f aca="false">$D31*AF31</f>
        <v>0</v>
      </c>
      <c r="AH31" s="43"/>
      <c r="AI31" s="42" t="n">
        <f aca="false">$D31*AH31</f>
        <v>0</v>
      </c>
      <c r="AJ31" s="43"/>
      <c r="AK31" s="42" t="n">
        <f aca="false">$D31*AJ31</f>
        <v>0</v>
      </c>
      <c r="AL31" s="43"/>
      <c r="AM31" s="42" t="n">
        <f aca="false">$D31*AL31</f>
        <v>0</v>
      </c>
      <c r="AN31" s="43"/>
      <c r="AO31" s="42" t="n">
        <f aca="false">$D31*AN31</f>
        <v>0</v>
      </c>
      <c r="AP31" s="43"/>
      <c r="AQ31" s="42" t="n">
        <f aca="false">$D31*AP31</f>
        <v>0</v>
      </c>
      <c r="AR31" s="43"/>
      <c r="AS31" s="42" t="n">
        <f aca="false">$D31*AR31</f>
        <v>0</v>
      </c>
      <c r="AT31" s="43"/>
      <c r="AU31" s="42" t="n">
        <f aca="false">$D31*AT31</f>
        <v>0</v>
      </c>
      <c r="AV31" s="43"/>
      <c r="AW31" s="42" t="n">
        <f aca="false">$D31*AV31</f>
        <v>0</v>
      </c>
      <c r="AX31" s="43"/>
      <c r="AY31" s="42" t="n">
        <f aca="false">$D31*AX31</f>
        <v>0</v>
      </c>
      <c r="AZ31" s="44" t="n">
        <f aca="false">H31+J31+L31+N31+P31+R31+T31+V31+X31+Z31+AB31+AD31+AF31+AH31+AJ31+AL31+AN31+AP31+AR31+AT31+AV31+AX31</f>
        <v>0</v>
      </c>
      <c r="BA31" s="42" t="n">
        <f aca="false">$D31*AZ31</f>
        <v>0</v>
      </c>
    </row>
    <row r="32" customFormat="false" ht="18" hidden="false" customHeight="true" outlineLevel="0" collapsed="false">
      <c r="A32" s="0" t="s">
        <v>12</v>
      </c>
      <c r="B32" s="71" t="n">
        <v>6</v>
      </c>
      <c r="C32" s="50" t="s">
        <v>43</v>
      </c>
      <c r="D32" s="51" t="n">
        <v>12</v>
      </c>
      <c r="E32" s="70" t="n">
        <f aca="false">B32</f>
        <v>6</v>
      </c>
      <c r="F32" s="35" t="str">
        <f aca="false">C32</f>
        <v>Cachaça Matuta Umburana</v>
      </c>
      <c r="G32" s="36" t="n">
        <f aca="false">D32</f>
        <v>12</v>
      </c>
      <c r="H32" s="39"/>
      <c r="I32" s="38" t="n">
        <f aca="false">$D32*H32</f>
        <v>0</v>
      </c>
      <c r="J32" s="39"/>
      <c r="K32" s="38" t="n">
        <f aca="false">$D32*J32</f>
        <v>0</v>
      </c>
      <c r="L32" s="39"/>
      <c r="M32" s="38" t="n">
        <f aca="false">$D32*L32</f>
        <v>0</v>
      </c>
      <c r="N32" s="40"/>
      <c r="O32" s="38" t="n">
        <f aca="false">$D32*N32</f>
        <v>0</v>
      </c>
      <c r="P32" s="40"/>
      <c r="Q32" s="38" t="n">
        <f aca="false">$D32*P32</f>
        <v>0</v>
      </c>
      <c r="R32" s="40"/>
      <c r="S32" s="38" t="n">
        <f aca="false">$D32*R32</f>
        <v>0</v>
      </c>
      <c r="T32" s="40"/>
      <c r="U32" s="38" t="n">
        <f aca="false">$D32*T32</f>
        <v>0</v>
      </c>
      <c r="V32" s="40"/>
      <c r="W32" s="38" t="n">
        <f aca="false">$D32*V32</f>
        <v>0</v>
      </c>
      <c r="X32" s="40"/>
      <c r="Y32" s="38" t="n">
        <f aca="false">$D32*X32</f>
        <v>0</v>
      </c>
      <c r="Z32" s="41"/>
      <c r="AA32" s="42" t="n">
        <f aca="false">$D32*Z32</f>
        <v>0</v>
      </c>
      <c r="AB32" s="43"/>
      <c r="AC32" s="42" t="n">
        <f aca="false">$D32*AB32</f>
        <v>0</v>
      </c>
      <c r="AD32" s="43"/>
      <c r="AE32" s="42" t="n">
        <f aca="false">$D32*AD32</f>
        <v>0</v>
      </c>
      <c r="AF32" s="43"/>
      <c r="AG32" s="42" t="n">
        <f aca="false">$D32*AF32</f>
        <v>0</v>
      </c>
      <c r="AH32" s="43"/>
      <c r="AI32" s="42" t="n">
        <f aca="false">$D32*AH32</f>
        <v>0</v>
      </c>
      <c r="AJ32" s="43"/>
      <c r="AK32" s="42" t="n">
        <f aca="false">$D32*AJ32</f>
        <v>0</v>
      </c>
      <c r="AL32" s="43"/>
      <c r="AM32" s="42" t="n">
        <f aca="false">$D32*AL32</f>
        <v>0</v>
      </c>
      <c r="AN32" s="43"/>
      <c r="AO32" s="42" t="n">
        <f aca="false">$D32*AN32</f>
        <v>0</v>
      </c>
      <c r="AP32" s="43"/>
      <c r="AQ32" s="42" t="n">
        <f aca="false">$D32*AP32</f>
        <v>0</v>
      </c>
      <c r="AR32" s="43"/>
      <c r="AS32" s="42" t="n">
        <f aca="false">$D32*AR32</f>
        <v>0</v>
      </c>
      <c r="AT32" s="43"/>
      <c r="AU32" s="42" t="n">
        <f aca="false">$D32*AT32</f>
        <v>0</v>
      </c>
      <c r="AV32" s="43"/>
      <c r="AW32" s="42" t="n">
        <f aca="false">$D32*AV32</f>
        <v>0</v>
      </c>
      <c r="AX32" s="43"/>
      <c r="AY32" s="42" t="n">
        <f aca="false">$D32*AX32</f>
        <v>0</v>
      </c>
      <c r="AZ32" s="44" t="n">
        <f aca="false">H32+J32+L32+N32+P32+R32+T32+V32+X32+Z32+AB32+AD32+AF32+AH32+AJ32+AL32+AN32+AP32+AR32+AT32+AV32+AX32</f>
        <v>0</v>
      </c>
      <c r="BA32" s="42" t="n">
        <f aca="false">$D32*AZ32</f>
        <v>0</v>
      </c>
    </row>
    <row r="33" customFormat="false" ht="18" hidden="false" customHeight="true" outlineLevel="0" collapsed="false">
      <c r="A33" s="0" t="s">
        <v>12</v>
      </c>
      <c r="B33" s="72" t="n">
        <v>19</v>
      </c>
      <c r="C33" s="73" t="s">
        <v>44</v>
      </c>
      <c r="D33" s="74" t="n">
        <v>9</v>
      </c>
      <c r="E33" s="70" t="n">
        <f aca="false">B33</f>
        <v>19</v>
      </c>
      <c r="F33" s="35" t="str">
        <f aca="false">C33</f>
        <v>Campari</v>
      </c>
      <c r="G33" s="36" t="n">
        <f aca="false">D33</f>
        <v>9</v>
      </c>
      <c r="H33" s="39"/>
      <c r="I33" s="38" t="n">
        <f aca="false">$D33*H33</f>
        <v>0</v>
      </c>
      <c r="J33" s="39"/>
      <c r="K33" s="38" t="n">
        <f aca="false">$D33*J33</f>
        <v>0</v>
      </c>
      <c r="L33" s="39"/>
      <c r="M33" s="38" t="n">
        <f aca="false">$D33*L33</f>
        <v>0</v>
      </c>
      <c r="N33" s="40"/>
      <c r="O33" s="38" t="n">
        <f aca="false">$D33*N33</f>
        <v>0</v>
      </c>
      <c r="P33" s="40"/>
      <c r="Q33" s="38" t="n">
        <f aca="false">$D33*P33</f>
        <v>0</v>
      </c>
      <c r="R33" s="40"/>
      <c r="S33" s="38" t="n">
        <f aca="false">$D33*R33</f>
        <v>0</v>
      </c>
      <c r="T33" s="40"/>
      <c r="U33" s="38" t="n">
        <f aca="false">$D33*T33</f>
        <v>0</v>
      </c>
      <c r="V33" s="40"/>
      <c r="W33" s="38" t="n">
        <f aca="false">$D33*V33</f>
        <v>0</v>
      </c>
      <c r="X33" s="40"/>
      <c r="Y33" s="38" t="n">
        <f aca="false">$D33*X33</f>
        <v>0</v>
      </c>
      <c r="Z33" s="41"/>
      <c r="AA33" s="42" t="n">
        <f aca="false">$D33*Z33</f>
        <v>0</v>
      </c>
      <c r="AB33" s="43"/>
      <c r="AC33" s="42" t="n">
        <f aca="false">$D33*AB33</f>
        <v>0</v>
      </c>
      <c r="AD33" s="43"/>
      <c r="AE33" s="42" t="n">
        <f aca="false">$D33*AD33</f>
        <v>0</v>
      </c>
      <c r="AF33" s="43"/>
      <c r="AG33" s="42" t="n">
        <f aca="false">$D33*AF33</f>
        <v>0</v>
      </c>
      <c r="AH33" s="43"/>
      <c r="AI33" s="42" t="n">
        <f aca="false">$D33*AH33</f>
        <v>0</v>
      </c>
      <c r="AJ33" s="43"/>
      <c r="AK33" s="42" t="n">
        <f aca="false">$D33*AJ33</f>
        <v>0</v>
      </c>
      <c r="AL33" s="43"/>
      <c r="AM33" s="42" t="n">
        <f aca="false">$D33*AL33</f>
        <v>0</v>
      </c>
      <c r="AN33" s="43"/>
      <c r="AO33" s="42" t="n">
        <f aca="false">$D33*AN33</f>
        <v>0</v>
      </c>
      <c r="AP33" s="43"/>
      <c r="AQ33" s="42" t="n">
        <f aca="false">$D33*AP33</f>
        <v>0</v>
      </c>
      <c r="AR33" s="43"/>
      <c r="AS33" s="42" t="n">
        <f aca="false">$D33*AR33</f>
        <v>0</v>
      </c>
      <c r="AT33" s="43"/>
      <c r="AU33" s="42" t="n">
        <f aca="false">$D33*AT33</f>
        <v>0</v>
      </c>
      <c r="AV33" s="43"/>
      <c r="AW33" s="42" t="n">
        <f aca="false">$D33*AV33</f>
        <v>0</v>
      </c>
      <c r="AX33" s="43"/>
      <c r="AY33" s="42" t="n">
        <f aca="false">$D33*AX33</f>
        <v>0</v>
      </c>
      <c r="AZ33" s="44" t="n">
        <f aca="false">H33+J33+L33+N33+P33+R33+T33+V33+X33+Z33+AB33+AD33+AF33+AH33+AJ33+AL33+AN33+AP33+AR33+AT33+AV33+AX33</f>
        <v>0</v>
      </c>
      <c r="BA33" s="42" t="n">
        <f aca="false">$D33*AZ33</f>
        <v>0</v>
      </c>
    </row>
    <row r="34" customFormat="false" ht="18" hidden="false" customHeight="true" outlineLevel="0" collapsed="false">
      <c r="A34" s="0" t="s">
        <v>12</v>
      </c>
      <c r="B34" s="62"/>
      <c r="C34" s="63" t="s">
        <v>45</v>
      </c>
      <c r="D34" s="64"/>
      <c r="E34" s="65"/>
      <c r="F34" s="66" t="s">
        <v>45</v>
      </c>
      <c r="G34" s="67"/>
      <c r="H34" s="39"/>
      <c r="I34" s="38" t="n">
        <f aca="false">$D34*H34</f>
        <v>0</v>
      </c>
      <c r="J34" s="39"/>
      <c r="K34" s="38" t="n">
        <f aca="false">$D34*J34</f>
        <v>0</v>
      </c>
      <c r="L34" s="39"/>
      <c r="M34" s="38" t="n">
        <f aca="false">$D34*L34</f>
        <v>0</v>
      </c>
      <c r="N34" s="40"/>
      <c r="O34" s="38" t="n">
        <f aca="false">$D34*N34</f>
        <v>0</v>
      </c>
      <c r="P34" s="40"/>
      <c r="Q34" s="38" t="n">
        <f aca="false">$D34*P34</f>
        <v>0</v>
      </c>
      <c r="R34" s="40"/>
      <c r="S34" s="38" t="n">
        <f aca="false">$D34*R34</f>
        <v>0</v>
      </c>
      <c r="T34" s="40"/>
      <c r="U34" s="38" t="n">
        <f aca="false">$D34*T34</f>
        <v>0</v>
      </c>
      <c r="V34" s="40"/>
      <c r="W34" s="38" t="n">
        <f aca="false">$D34*V34</f>
        <v>0</v>
      </c>
      <c r="X34" s="40"/>
      <c r="Y34" s="38" t="n">
        <f aca="false">$D34*X34</f>
        <v>0</v>
      </c>
      <c r="Z34" s="41"/>
      <c r="AA34" s="42" t="n">
        <f aca="false">$D34*Z34</f>
        <v>0</v>
      </c>
      <c r="AB34" s="43"/>
      <c r="AC34" s="42" t="n">
        <f aca="false">$D34*AB34</f>
        <v>0</v>
      </c>
      <c r="AD34" s="43"/>
      <c r="AE34" s="42" t="n">
        <f aca="false">$D34*AD34</f>
        <v>0</v>
      </c>
      <c r="AF34" s="43"/>
      <c r="AG34" s="42" t="n">
        <f aca="false">$D34*AF34</f>
        <v>0</v>
      </c>
      <c r="AH34" s="43"/>
      <c r="AI34" s="42" t="n">
        <f aca="false">$D34*AH34</f>
        <v>0</v>
      </c>
      <c r="AJ34" s="43"/>
      <c r="AK34" s="42" t="n">
        <f aca="false">$D34*AJ34</f>
        <v>0</v>
      </c>
      <c r="AL34" s="43"/>
      <c r="AM34" s="42" t="n">
        <f aca="false">$D34*AL34</f>
        <v>0</v>
      </c>
      <c r="AN34" s="43"/>
      <c r="AO34" s="42" t="n">
        <f aca="false">$D34*AN34</f>
        <v>0</v>
      </c>
      <c r="AP34" s="43"/>
      <c r="AQ34" s="42" t="n">
        <f aca="false">$D34*AP34</f>
        <v>0</v>
      </c>
      <c r="AR34" s="43"/>
      <c r="AS34" s="42" t="n">
        <f aca="false">$D34*AR34</f>
        <v>0</v>
      </c>
      <c r="AT34" s="43"/>
      <c r="AU34" s="42" t="n">
        <f aca="false">$D34*AT34</f>
        <v>0</v>
      </c>
      <c r="AV34" s="43"/>
      <c r="AW34" s="42" t="n">
        <f aca="false">$D34*AV34</f>
        <v>0</v>
      </c>
      <c r="AX34" s="43"/>
      <c r="AY34" s="42" t="n">
        <f aca="false">$D34*AX34</f>
        <v>0</v>
      </c>
      <c r="AZ34" s="44" t="n">
        <f aca="false">H34+J34+L34+N34+P34+R34+T34+V34+X34+Z34+AB34+AD34+AF34+AH34+AJ34+AL34+AN34+AP34+AR34+AT34+AV34+AX34</f>
        <v>0</v>
      </c>
      <c r="BA34" s="42" t="n">
        <f aca="false">$D34*AZ34</f>
        <v>0</v>
      </c>
    </row>
    <row r="35" customFormat="false" ht="18" hidden="false" customHeight="true" outlineLevel="0" collapsed="false">
      <c r="A35" s="0" t="s">
        <v>12</v>
      </c>
      <c r="B35" s="68" t="n">
        <v>11</v>
      </c>
      <c r="C35" s="69" t="s">
        <v>46</v>
      </c>
      <c r="D35" s="58" t="n">
        <v>5</v>
      </c>
      <c r="E35" s="75" t="n">
        <v>11</v>
      </c>
      <c r="F35" s="53" t="s">
        <v>46</v>
      </c>
      <c r="G35" s="54" t="n">
        <v>5</v>
      </c>
      <c r="H35" s="39"/>
      <c r="I35" s="38" t="n">
        <f aca="false">$D35*H35</f>
        <v>0</v>
      </c>
      <c r="J35" s="39"/>
      <c r="K35" s="38" t="n">
        <f aca="false">$D35*J35</f>
        <v>0</v>
      </c>
      <c r="L35" s="39"/>
      <c r="M35" s="38" t="n">
        <f aca="false">$D35*L35</f>
        <v>0</v>
      </c>
      <c r="N35" s="40"/>
      <c r="O35" s="38" t="n">
        <f aca="false">$D35*N35</f>
        <v>0</v>
      </c>
      <c r="P35" s="40"/>
      <c r="Q35" s="38" t="n">
        <f aca="false">$D35*P35</f>
        <v>0</v>
      </c>
      <c r="R35" s="40"/>
      <c r="S35" s="38" t="n">
        <f aca="false">$D35*R35</f>
        <v>0</v>
      </c>
      <c r="T35" s="40"/>
      <c r="U35" s="38" t="n">
        <f aca="false">$D35*T35</f>
        <v>0</v>
      </c>
      <c r="V35" s="40"/>
      <c r="W35" s="38" t="n">
        <f aca="false">$D35*V35</f>
        <v>0</v>
      </c>
      <c r="X35" s="40"/>
      <c r="Y35" s="38" t="n">
        <f aca="false">$D35*X35</f>
        <v>0</v>
      </c>
      <c r="Z35" s="41"/>
      <c r="AA35" s="42" t="n">
        <f aca="false">$D35*Z35</f>
        <v>0</v>
      </c>
      <c r="AB35" s="43"/>
      <c r="AC35" s="42" t="n">
        <f aca="false">$D35*AB35</f>
        <v>0</v>
      </c>
      <c r="AD35" s="43"/>
      <c r="AE35" s="42" t="n">
        <f aca="false">$D35*AD35</f>
        <v>0</v>
      </c>
      <c r="AF35" s="43"/>
      <c r="AG35" s="42" t="n">
        <f aca="false">$D35*AF35</f>
        <v>0</v>
      </c>
      <c r="AH35" s="43"/>
      <c r="AI35" s="42" t="n">
        <f aca="false">$D35*AH35</f>
        <v>0</v>
      </c>
      <c r="AJ35" s="43"/>
      <c r="AK35" s="42" t="n">
        <f aca="false">$D35*AJ35</f>
        <v>0</v>
      </c>
      <c r="AL35" s="43"/>
      <c r="AM35" s="42" t="n">
        <f aca="false">$D35*AL35</f>
        <v>0</v>
      </c>
      <c r="AN35" s="43"/>
      <c r="AO35" s="42" t="n">
        <f aca="false">$D35*AN35</f>
        <v>0</v>
      </c>
      <c r="AP35" s="43"/>
      <c r="AQ35" s="42" t="n">
        <f aca="false">$D35*AP35</f>
        <v>0</v>
      </c>
      <c r="AR35" s="43"/>
      <c r="AS35" s="42" t="n">
        <f aca="false">$D35*AR35</f>
        <v>0</v>
      </c>
      <c r="AT35" s="43"/>
      <c r="AU35" s="42" t="n">
        <f aca="false">$D35*AT35</f>
        <v>0</v>
      </c>
      <c r="AV35" s="43"/>
      <c r="AW35" s="42" t="n">
        <f aca="false">$D35*AV35</f>
        <v>0</v>
      </c>
      <c r="AX35" s="43"/>
      <c r="AY35" s="42" t="n">
        <f aca="false">$D35*AX35</f>
        <v>0</v>
      </c>
      <c r="AZ35" s="44" t="n">
        <f aca="false">H35+J35+L35+N35+P35+R35+T35+V35+X35+Z35+AB35+AD35+AF35+AH35+AJ35+AL35+AN35+AP35+AR35+AT35+AV35+AX35</f>
        <v>0</v>
      </c>
      <c r="BA35" s="42" t="n">
        <f aca="false">$D35*AZ35</f>
        <v>0</v>
      </c>
    </row>
    <row r="36" customFormat="false" ht="18" hidden="false" customHeight="true" outlineLevel="0" collapsed="false">
      <c r="A36" s="0" t="s">
        <v>12</v>
      </c>
      <c r="B36" s="71" t="n">
        <v>12</v>
      </c>
      <c r="C36" s="50" t="s">
        <v>47</v>
      </c>
      <c r="D36" s="51" t="n">
        <v>6</v>
      </c>
      <c r="E36" s="75" t="n">
        <v>12</v>
      </c>
      <c r="F36" s="53" t="s">
        <v>47</v>
      </c>
      <c r="G36" s="54" t="n">
        <v>6</v>
      </c>
      <c r="H36" s="39"/>
      <c r="I36" s="38" t="n">
        <f aca="false">$D36*H36</f>
        <v>0</v>
      </c>
      <c r="J36" s="39"/>
      <c r="K36" s="38" t="n">
        <f aca="false">$D36*J36</f>
        <v>0</v>
      </c>
      <c r="L36" s="39"/>
      <c r="M36" s="38" t="n">
        <f aca="false">$D36*L36</f>
        <v>0</v>
      </c>
      <c r="N36" s="40"/>
      <c r="O36" s="38" t="n">
        <f aca="false">$D36*N36</f>
        <v>0</v>
      </c>
      <c r="P36" s="40"/>
      <c r="Q36" s="38" t="n">
        <f aca="false">$D36*P36</f>
        <v>0</v>
      </c>
      <c r="R36" s="40"/>
      <c r="S36" s="38" t="n">
        <f aca="false">$D36*R36</f>
        <v>0</v>
      </c>
      <c r="T36" s="40"/>
      <c r="U36" s="38" t="n">
        <f aca="false">$D36*T36</f>
        <v>0</v>
      </c>
      <c r="V36" s="40"/>
      <c r="W36" s="38" t="n">
        <f aca="false">$D36*V36</f>
        <v>0</v>
      </c>
      <c r="X36" s="40"/>
      <c r="Y36" s="38" t="n">
        <f aca="false">$D36*X36</f>
        <v>0</v>
      </c>
      <c r="Z36" s="41"/>
      <c r="AA36" s="42" t="n">
        <f aca="false">$D36*Z36</f>
        <v>0</v>
      </c>
      <c r="AB36" s="43"/>
      <c r="AC36" s="42" t="n">
        <f aca="false">$D36*AB36</f>
        <v>0</v>
      </c>
      <c r="AD36" s="43"/>
      <c r="AE36" s="42" t="n">
        <f aca="false">$D36*AD36</f>
        <v>0</v>
      </c>
      <c r="AF36" s="43"/>
      <c r="AG36" s="42" t="n">
        <f aca="false">$D36*AF36</f>
        <v>0</v>
      </c>
      <c r="AH36" s="43"/>
      <c r="AI36" s="42" t="n">
        <f aca="false">$D36*AH36</f>
        <v>0</v>
      </c>
      <c r="AJ36" s="43"/>
      <c r="AK36" s="42" t="n">
        <f aca="false">$D36*AJ36</f>
        <v>0</v>
      </c>
      <c r="AL36" s="43"/>
      <c r="AM36" s="42" t="n">
        <f aca="false">$D36*AL36</f>
        <v>0</v>
      </c>
      <c r="AN36" s="43"/>
      <c r="AO36" s="42" t="n">
        <f aca="false">$D36*AN36</f>
        <v>0</v>
      </c>
      <c r="AP36" s="43"/>
      <c r="AQ36" s="42" t="n">
        <f aca="false">$D36*AP36</f>
        <v>0</v>
      </c>
      <c r="AR36" s="43"/>
      <c r="AS36" s="42" t="n">
        <f aca="false">$D36*AR36</f>
        <v>0</v>
      </c>
      <c r="AT36" s="43"/>
      <c r="AU36" s="42" t="n">
        <f aca="false">$D36*AT36</f>
        <v>0</v>
      </c>
      <c r="AV36" s="43"/>
      <c r="AW36" s="42" t="n">
        <f aca="false">$D36*AV36</f>
        <v>0</v>
      </c>
      <c r="AX36" s="43"/>
      <c r="AY36" s="42" t="n">
        <f aca="false">$D36*AX36</f>
        <v>0</v>
      </c>
      <c r="AZ36" s="44" t="n">
        <f aca="false">H36+J36+L36+N36+P36+R36+T36+V36+X36+Z36+AB36+AD36+AF36+AH36+AJ36+AL36+AN36+AP36+AR36+AT36+AV36+AX36</f>
        <v>0</v>
      </c>
      <c r="BA36" s="42" t="n">
        <f aca="false">$D36*AZ36</f>
        <v>0</v>
      </c>
    </row>
    <row r="37" customFormat="false" ht="18" hidden="false" customHeight="true" outlineLevel="0" collapsed="false">
      <c r="A37" s="0" t="s">
        <v>12</v>
      </c>
      <c r="B37" s="71" t="n">
        <v>22</v>
      </c>
      <c r="C37" s="50" t="s">
        <v>48</v>
      </c>
      <c r="D37" s="51" t="n">
        <v>8</v>
      </c>
      <c r="E37" s="75" t="n">
        <v>22</v>
      </c>
      <c r="F37" s="53" t="s">
        <v>48</v>
      </c>
      <c r="G37" s="54" t="n">
        <v>8</v>
      </c>
      <c r="H37" s="39"/>
      <c r="I37" s="38" t="n">
        <f aca="false">$D37*H37</f>
        <v>0</v>
      </c>
      <c r="J37" s="39"/>
      <c r="K37" s="38" t="n">
        <f aca="false">$D37*J37</f>
        <v>0</v>
      </c>
      <c r="L37" s="39"/>
      <c r="M37" s="38" t="n">
        <f aca="false">$D37*L37</f>
        <v>0</v>
      </c>
      <c r="N37" s="40"/>
      <c r="O37" s="38" t="n">
        <f aca="false">$D37*N37</f>
        <v>0</v>
      </c>
      <c r="P37" s="40"/>
      <c r="Q37" s="38" t="n">
        <f aca="false">$D37*P37</f>
        <v>0</v>
      </c>
      <c r="R37" s="40"/>
      <c r="S37" s="38" t="n">
        <f aca="false">$D37*R37</f>
        <v>0</v>
      </c>
      <c r="T37" s="40"/>
      <c r="U37" s="38" t="n">
        <f aca="false">$D37*T37</f>
        <v>0</v>
      </c>
      <c r="V37" s="40"/>
      <c r="W37" s="38" t="n">
        <f aca="false">$D37*V37</f>
        <v>0</v>
      </c>
      <c r="X37" s="40"/>
      <c r="Y37" s="38" t="n">
        <f aca="false">$D37*X37</f>
        <v>0</v>
      </c>
      <c r="Z37" s="41"/>
      <c r="AA37" s="42" t="n">
        <f aca="false">$D37*Z37</f>
        <v>0</v>
      </c>
      <c r="AB37" s="43"/>
      <c r="AC37" s="42" t="n">
        <f aca="false">$D37*AB37</f>
        <v>0</v>
      </c>
      <c r="AD37" s="43"/>
      <c r="AE37" s="42" t="n">
        <f aca="false">$D37*AD37</f>
        <v>0</v>
      </c>
      <c r="AF37" s="43"/>
      <c r="AG37" s="42" t="n">
        <f aca="false">$D37*AF37</f>
        <v>0</v>
      </c>
      <c r="AH37" s="43"/>
      <c r="AI37" s="42" t="n">
        <f aca="false">$D37*AH37</f>
        <v>0</v>
      </c>
      <c r="AJ37" s="43"/>
      <c r="AK37" s="42" t="n">
        <f aca="false">$D37*AJ37</f>
        <v>0</v>
      </c>
      <c r="AL37" s="43"/>
      <c r="AM37" s="42" t="n">
        <f aca="false">$D37*AL37</f>
        <v>0</v>
      </c>
      <c r="AN37" s="43"/>
      <c r="AO37" s="42" t="n">
        <f aca="false">$D37*AN37</f>
        <v>0</v>
      </c>
      <c r="AP37" s="43"/>
      <c r="AQ37" s="42" t="n">
        <f aca="false">$D37*AP37</f>
        <v>0</v>
      </c>
      <c r="AR37" s="43"/>
      <c r="AS37" s="42" t="n">
        <f aca="false">$D37*AR37</f>
        <v>0</v>
      </c>
      <c r="AT37" s="43"/>
      <c r="AU37" s="42" t="n">
        <f aca="false">$D37*AT37</f>
        <v>0</v>
      </c>
      <c r="AV37" s="43"/>
      <c r="AW37" s="42" t="n">
        <f aca="false">$D37*AV37</f>
        <v>0</v>
      </c>
      <c r="AX37" s="43"/>
      <c r="AY37" s="42" t="n">
        <f aca="false">$D37*AX37</f>
        <v>0</v>
      </c>
      <c r="AZ37" s="44" t="n">
        <f aca="false">H37+J37+L37+N37+P37+R37+T37+V37+X37+Z37+AB37+AD37+AF37+AH37+AJ37+AL37+AN37+AP37+AR37+AT37+AV37+AX37</f>
        <v>0</v>
      </c>
      <c r="BA37" s="42" t="n">
        <f aca="false">$D37*AZ37</f>
        <v>0</v>
      </c>
    </row>
    <row r="38" customFormat="false" ht="18" hidden="false" customHeight="true" outlineLevel="0" collapsed="false">
      <c r="A38" s="0" t="s">
        <v>12</v>
      </c>
      <c r="B38" s="71" t="n">
        <v>8</v>
      </c>
      <c r="C38" s="50" t="s">
        <v>49</v>
      </c>
      <c r="D38" s="51" t="n">
        <v>8</v>
      </c>
      <c r="E38" s="75" t="n">
        <v>8</v>
      </c>
      <c r="F38" s="53" t="s">
        <v>49</v>
      </c>
      <c r="G38" s="54" t="n">
        <v>8</v>
      </c>
      <c r="H38" s="39"/>
      <c r="I38" s="38" t="n">
        <f aca="false">$D38*H38</f>
        <v>0</v>
      </c>
      <c r="J38" s="39"/>
      <c r="K38" s="38" t="n">
        <f aca="false">$D38*J38</f>
        <v>0</v>
      </c>
      <c r="L38" s="39"/>
      <c r="M38" s="38" t="n">
        <f aca="false">$D38*L38</f>
        <v>0</v>
      </c>
      <c r="N38" s="40"/>
      <c r="O38" s="38" t="n">
        <f aca="false">$D38*N38</f>
        <v>0</v>
      </c>
      <c r="P38" s="40"/>
      <c r="Q38" s="38" t="n">
        <f aca="false">$D38*P38</f>
        <v>0</v>
      </c>
      <c r="R38" s="40"/>
      <c r="S38" s="38" t="n">
        <f aca="false">$D38*R38</f>
        <v>0</v>
      </c>
      <c r="T38" s="40"/>
      <c r="U38" s="38" t="n">
        <f aca="false">$D38*T38</f>
        <v>0</v>
      </c>
      <c r="V38" s="40"/>
      <c r="W38" s="38" t="n">
        <f aca="false">$D38*V38</f>
        <v>0</v>
      </c>
      <c r="X38" s="40"/>
      <c r="Y38" s="38" t="n">
        <f aca="false">$D38*X38</f>
        <v>0</v>
      </c>
      <c r="Z38" s="41"/>
      <c r="AA38" s="42" t="n">
        <f aca="false">$D38*Z38</f>
        <v>0</v>
      </c>
      <c r="AB38" s="43"/>
      <c r="AC38" s="42" t="n">
        <f aca="false">$D38*AB38</f>
        <v>0</v>
      </c>
      <c r="AD38" s="43"/>
      <c r="AE38" s="42" t="n">
        <f aca="false">$D38*AD38</f>
        <v>0</v>
      </c>
      <c r="AF38" s="43"/>
      <c r="AG38" s="42" t="n">
        <f aca="false">$D38*AF38</f>
        <v>0</v>
      </c>
      <c r="AH38" s="43"/>
      <c r="AI38" s="42" t="n">
        <f aca="false">$D38*AH38</f>
        <v>0</v>
      </c>
      <c r="AJ38" s="43"/>
      <c r="AK38" s="42" t="n">
        <f aca="false">$D38*AJ38</f>
        <v>0</v>
      </c>
      <c r="AL38" s="43"/>
      <c r="AM38" s="42" t="n">
        <f aca="false">$D38*AL38</f>
        <v>0</v>
      </c>
      <c r="AN38" s="43"/>
      <c r="AO38" s="42" t="n">
        <f aca="false">$D38*AN38</f>
        <v>0</v>
      </c>
      <c r="AP38" s="43"/>
      <c r="AQ38" s="42" t="n">
        <f aca="false">$D38*AP38</f>
        <v>0</v>
      </c>
      <c r="AR38" s="43"/>
      <c r="AS38" s="42" t="n">
        <f aca="false">$D38*AR38</f>
        <v>0</v>
      </c>
      <c r="AT38" s="43"/>
      <c r="AU38" s="42" t="n">
        <f aca="false">$D38*AT38</f>
        <v>0</v>
      </c>
      <c r="AV38" s="43"/>
      <c r="AW38" s="42" t="n">
        <f aca="false">$D38*AV38</f>
        <v>0</v>
      </c>
      <c r="AX38" s="43"/>
      <c r="AY38" s="42" t="n">
        <f aca="false">$D38*AX38</f>
        <v>0</v>
      </c>
      <c r="AZ38" s="44" t="n">
        <f aca="false">H38+J38+L38+N38+P38+R38+T38+V38+X38+Z38+AB38+AD38+AF38+AH38+AJ38+AL38+AN38+AP38+AR38+AT38+AV38+AX38</f>
        <v>0</v>
      </c>
      <c r="BA38" s="42" t="n">
        <f aca="false">$D38*AZ38</f>
        <v>0</v>
      </c>
    </row>
    <row r="39" customFormat="false" ht="18" hidden="false" customHeight="true" outlineLevel="0" collapsed="false">
      <c r="A39" s="0" t="s">
        <v>12</v>
      </c>
      <c r="B39" s="71" t="n">
        <v>9</v>
      </c>
      <c r="C39" s="50" t="s">
        <v>50</v>
      </c>
      <c r="D39" s="51" t="n">
        <v>8</v>
      </c>
      <c r="E39" s="75" t="n">
        <v>9</v>
      </c>
      <c r="F39" s="53" t="s">
        <v>50</v>
      </c>
      <c r="G39" s="54" t="n">
        <v>8</v>
      </c>
      <c r="H39" s="39"/>
      <c r="I39" s="38" t="n">
        <f aca="false">$D39*H39</f>
        <v>0</v>
      </c>
      <c r="J39" s="39"/>
      <c r="K39" s="38" t="n">
        <f aca="false">$D39*J39</f>
        <v>0</v>
      </c>
      <c r="L39" s="39"/>
      <c r="M39" s="38" t="n">
        <f aca="false">$D39*L39</f>
        <v>0</v>
      </c>
      <c r="N39" s="40"/>
      <c r="O39" s="38" t="n">
        <f aca="false">$D39*N39</f>
        <v>0</v>
      </c>
      <c r="P39" s="40"/>
      <c r="Q39" s="38" t="n">
        <f aca="false">$D39*P39</f>
        <v>0</v>
      </c>
      <c r="R39" s="40"/>
      <c r="S39" s="38" t="n">
        <f aca="false">$D39*R39</f>
        <v>0</v>
      </c>
      <c r="T39" s="40"/>
      <c r="U39" s="38" t="n">
        <f aca="false">$D39*T39</f>
        <v>0</v>
      </c>
      <c r="V39" s="40"/>
      <c r="W39" s="38" t="n">
        <f aca="false">$D39*V39</f>
        <v>0</v>
      </c>
      <c r="X39" s="40"/>
      <c r="Y39" s="38" t="n">
        <f aca="false">$D39*X39</f>
        <v>0</v>
      </c>
      <c r="Z39" s="41"/>
      <c r="AA39" s="42" t="n">
        <f aca="false">$D39*Z39</f>
        <v>0</v>
      </c>
      <c r="AB39" s="43"/>
      <c r="AC39" s="42" t="n">
        <f aca="false">$D39*AB39</f>
        <v>0</v>
      </c>
      <c r="AD39" s="43"/>
      <c r="AE39" s="42" t="n">
        <f aca="false">$D39*AD39</f>
        <v>0</v>
      </c>
      <c r="AF39" s="43"/>
      <c r="AG39" s="42" t="n">
        <f aca="false">$D39*AF39</f>
        <v>0</v>
      </c>
      <c r="AH39" s="43"/>
      <c r="AI39" s="42" t="n">
        <f aca="false">$D39*AH39</f>
        <v>0</v>
      </c>
      <c r="AJ39" s="43"/>
      <c r="AK39" s="42" t="n">
        <f aca="false">$D39*AJ39</f>
        <v>0</v>
      </c>
      <c r="AL39" s="43"/>
      <c r="AM39" s="42" t="n">
        <f aca="false">$D39*AL39</f>
        <v>0</v>
      </c>
      <c r="AN39" s="43"/>
      <c r="AO39" s="42" t="n">
        <f aca="false">$D39*AN39</f>
        <v>0</v>
      </c>
      <c r="AP39" s="43"/>
      <c r="AQ39" s="42" t="n">
        <f aca="false">$D39*AP39</f>
        <v>0</v>
      </c>
      <c r="AR39" s="43"/>
      <c r="AS39" s="42" t="n">
        <f aca="false">$D39*AR39</f>
        <v>0</v>
      </c>
      <c r="AT39" s="43"/>
      <c r="AU39" s="42" t="n">
        <f aca="false">$D39*AT39</f>
        <v>0</v>
      </c>
      <c r="AV39" s="43"/>
      <c r="AW39" s="42" t="n">
        <f aca="false">$D39*AV39</f>
        <v>0</v>
      </c>
      <c r="AX39" s="43"/>
      <c r="AY39" s="42" t="n">
        <f aca="false">$D39*AX39</f>
        <v>0</v>
      </c>
      <c r="AZ39" s="44" t="n">
        <f aca="false">H39+J39+L39+N39+P39+R39+T39+V39+X39+Z39+AB39+AD39+AF39+AH39+AJ39+AL39+AN39+AP39+AR39+AT39+AV39+AX39</f>
        <v>0</v>
      </c>
      <c r="BA39" s="42" t="n">
        <f aca="false">$D39*AZ39</f>
        <v>0</v>
      </c>
    </row>
    <row r="40" customFormat="false" ht="18" hidden="false" customHeight="true" outlineLevel="0" collapsed="false">
      <c r="A40" s="0" t="s">
        <v>12</v>
      </c>
      <c r="B40" s="71" t="n">
        <v>43</v>
      </c>
      <c r="C40" s="50" t="s">
        <v>51</v>
      </c>
      <c r="D40" s="51" t="n">
        <v>8</v>
      </c>
      <c r="E40" s="75" t="n">
        <v>43</v>
      </c>
      <c r="F40" s="53" t="s">
        <v>51</v>
      </c>
      <c r="G40" s="54" t="n">
        <v>8</v>
      </c>
      <c r="H40" s="39"/>
      <c r="I40" s="38" t="n">
        <f aca="false">$D40*H40</f>
        <v>0</v>
      </c>
      <c r="J40" s="39"/>
      <c r="K40" s="38" t="n">
        <f aca="false">$D40*J40</f>
        <v>0</v>
      </c>
      <c r="L40" s="39"/>
      <c r="M40" s="38" t="n">
        <f aca="false">$D40*L40</f>
        <v>0</v>
      </c>
      <c r="N40" s="40"/>
      <c r="O40" s="38" t="n">
        <f aca="false">$D40*N40</f>
        <v>0</v>
      </c>
      <c r="P40" s="40"/>
      <c r="Q40" s="38" t="n">
        <f aca="false">$D40*P40</f>
        <v>0</v>
      </c>
      <c r="R40" s="40"/>
      <c r="S40" s="38" t="n">
        <f aca="false">$D40*R40</f>
        <v>0</v>
      </c>
      <c r="T40" s="40"/>
      <c r="U40" s="38" t="n">
        <f aca="false">$D40*T40</f>
        <v>0</v>
      </c>
      <c r="V40" s="40"/>
      <c r="W40" s="38" t="n">
        <f aca="false">$D40*V40</f>
        <v>0</v>
      </c>
      <c r="X40" s="40"/>
      <c r="Y40" s="38" t="n">
        <f aca="false">$D40*X40</f>
        <v>0</v>
      </c>
      <c r="Z40" s="41"/>
      <c r="AA40" s="42" t="n">
        <f aca="false">$D40*Z40</f>
        <v>0</v>
      </c>
      <c r="AB40" s="43"/>
      <c r="AC40" s="42" t="n">
        <f aca="false">$D40*AB40</f>
        <v>0</v>
      </c>
      <c r="AD40" s="43"/>
      <c r="AE40" s="42" t="n">
        <f aca="false">$D40*AD40</f>
        <v>0</v>
      </c>
      <c r="AF40" s="43"/>
      <c r="AG40" s="42" t="n">
        <f aca="false">$D40*AF40</f>
        <v>0</v>
      </c>
      <c r="AH40" s="43"/>
      <c r="AI40" s="42" t="n">
        <f aca="false">$D40*AH40</f>
        <v>0</v>
      </c>
      <c r="AJ40" s="43"/>
      <c r="AK40" s="42" t="n">
        <f aca="false">$D40*AJ40</f>
        <v>0</v>
      </c>
      <c r="AL40" s="43"/>
      <c r="AM40" s="42" t="n">
        <f aca="false">$D40*AL40</f>
        <v>0</v>
      </c>
      <c r="AN40" s="43"/>
      <c r="AO40" s="42" t="n">
        <f aca="false">$D40*AN40</f>
        <v>0</v>
      </c>
      <c r="AP40" s="43"/>
      <c r="AQ40" s="42" t="n">
        <f aca="false">$D40*AP40</f>
        <v>0</v>
      </c>
      <c r="AR40" s="43"/>
      <c r="AS40" s="42" t="n">
        <f aca="false">$D40*AR40</f>
        <v>0</v>
      </c>
      <c r="AT40" s="43"/>
      <c r="AU40" s="42" t="n">
        <f aca="false">$D40*AT40</f>
        <v>0</v>
      </c>
      <c r="AV40" s="43"/>
      <c r="AW40" s="42" t="n">
        <f aca="false">$D40*AV40</f>
        <v>0</v>
      </c>
      <c r="AX40" s="43"/>
      <c r="AY40" s="42" t="n">
        <f aca="false">$D40*AX40</f>
        <v>0</v>
      </c>
      <c r="AZ40" s="44" t="n">
        <f aca="false">H40+J40+L40+N40+P40+R40+T40+V40+X40+Z40+AB40+AD40+AF40+AH40+AJ40+AL40+AN40+AP40+AR40+AT40+AV40+AX40</f>
        <v>0</v>
      </c>
      <c r="BA40" s="42" t="n">
        <f aca="false">$D40*AZ40</f>
        <v>0</v>
      </c>
    </row>
    <row r="41" customFormat="false" ht="18" hidden="false" customHeight="true" outlineLevel="0" collapsed="false">
      <c r="A41" s="0" t="s">
        <v>12</v>
      </c>
      <c r="B41" s="71" t="n">
        <v>10</v>
      </c>
      <c r="C41" s="50" t="s">
        <v>52</v>
      </c>
      <c r="D41" s="51" t="n">
        <v>8</v>
      </c>
      <c r="E41" s="75" t="n">
        <v>10</v>
      </c>
      <c r="F41" s="53" t="s">
        <v>52</v>
      </c>
      <c r="G41" s="54" t="n">
        <v>8</v>
      </c>
      <c r="H41" s="39"/>
      <c r="I41" s="38" t="n">
        <f aca="false">$D41*H41</f>
        <v>0</v>
      </c>
      <c r="J41" s="39"/>
      <c r="K41" s="38" t="n">
        <f aca="false">$D41*J41</f>
        <v>0</v>
      </c>
      <c r="L41" s="39"/>
      <c r="M41" s="38" t="n">
        <f aca="false">$D41*L41</f>
        <v>0</v>
      </c>
      <c r="N41" s="40"/>
      <c r="O41" s="38" t="n">
        <f aca="false">$D41*N41</f>
        <v>0</v>
      </c>
      <c r="P41" s="40"/>
      <c r="Q41" s="38" t="n">
        <f aca="false">$D41*P41</f>
        <v>0</v>
      </c>
      <c r="R41" s="40"/>
      <c r="S41" s="38" t="n">
        <f aca="false">$D41*R41</f>
        <v>0</v>
      </c>
      <c r="T41" s="40"/>
      <c r="U41" s="38" t="n">
        <f aca="false">$D41*T41</f>
        <v>0</v>
      </c>
      <c r="V41" s="40"/>
      <c r="W41" s="38" t="n">
        <f aca="false">$D41*V41</f>
        <v>0</v>
      </c>
      <c r="X41" s="40"/>
      <c r="Y41" s="38" t="n">
        <f aca="false">$D41*X41</f>
        <v>0</v>
      </c>
      <c r="Z41" s="41"/>
      <c r="AA41" s="42" t="n">
        <f aca="false">$D41*Z41</f>
        <v>0</v>
      </c>
      <c r="AB41" s="43"/>
      <c r="AC41" s="42" t="n">
        <f aca="false">$D41*AB41</f>
        <v>0</v>
      </c>
      <c r="AD41" s="43"/>
      <c r="AE41" s="42" t="n">
        <f aca="false">$D41*AD41</f>
        <v>0</v>
      </c>
      <c r="AF41" s="43"/>
      <c r="AG41" s="42" t="n">
        <f aca="false">$D41*AF41</f>
        <v>0</v>
      </c>
      <c r="AH41" s="43"/>
      <c r="AI41" s="42" t="n">
        <f aca="false">$D41*AH41</f>
        <v>0</v>
      </c>
      <c r="AJ41" s="43"/>
      <c r="AK41" s="42" t="n">
        <f aca="false">$D41*AJ41</f>
        <v>0</v>
      </c>
      <c r="AL41" s="43"/>
      <c r="AM41" s="42" t="n">
        <f aca="false">$D41*AL41</f>
        <v>0</v>
      </c>
      <c r="AN41" s="43"/>
      <c r="AO41" s="42" t="n">
        <f aca="false">$D41*AN41</f>
        <v>0</v>
      </c>
      <c r="AP41" s="43"/>
      <c r="AQ41" s="42" t="n">
        <f aca="false">$D41*AP41</f>
        <v>0</v>
      </c>
      <c r="AR41" s="43"/>
      <c r="AS41" s="42" t="n">
        <f aca="false">$D41*AR41</f>
        <v>0</v>
      </c>
      <c r="AT41" s="43"/>
      <c r="AU41" s="42" t="n">
        <f aca="false">$D41*AT41</f>
        <v>0</v>
      </c>
      <c r="AV41" s="43"/>
      <c r="AW41" s="42" t="n">
        <f aca="false">$D41*AV41</f>
        <v>0</v>
      </c>
      <c r="AX41" s="43"/>
      <c r="AY41" s="42" t="n">
        <f aca="false">$D41*AX41</f>
        <v>0</v>
      </c>
      <c r="AZ41" s="44" t="n">
        <f aca="false">H41+J41+L41+N41+P41+R41+T41+V41+X41+Z41+AB41+AD41+AF41+AH41+AJ41+AL41+AN41+AP41+AR41+AT41+AV41+AX41</f>
        <v>0</v>
      </c>
      <c r="BA41" s="42" t="n">
        <f aca="false">$D41*AZ41</f>
        <v>0</v>
      </c>
    </row>
    <row r="42" customFormat="false" ht="18" hidden="false" customHeight="true" outlineLevel="0" collapsed="false">
      <c r="A42" s="0" t="s">
        <v>12</v>
      </c>
      <c r="B42" s="71" t="n">
        <v>13</v>
      </c>
      <c r="C42" s="50" t="s">
        <v>53</v>
      </c>
      <c r="D42" s="51" t="n">
        <v>17</v>
      </c>
      <c r="E42" s="75" t="n">
        <v>13</v>
      </c>
      <c r="F42" s="53" t="s">
        <v>53</v>
      </c>
      <c r="G42" s="54" t="n">
        <v>17</v>
      </c>
      <c r="H42" s="39"/>
      <c r="I42" s="38" t="n">
        <f aca="false">$D42*H42</f>
        <v>0</v>
      </c>
      <c r="J42" s="39"/>
      <c r="K42" s="38" t="n">
        <f aca="false">$D42*J42</f>
        <v>0</v>
      </c>
      <c r="L42" s="39"/>
      <c r="M42" s="38" t="n">
        <f aca="false">$D42*L42</f>
        <v>0</v>
      </c>
      <c r="N42" s="40"/>
      <c r="O42" s="38" t="n">
        <f aca="false">$D42*N42</f>
        <v>0</v>
      </c>
      <c r="P42" s="40"/>
      <c r="Q42" s="38" t="n">
        <f aca="false">$D42*P42</f>
        <v>0</v>
      </c>
      <c r="R42" s="40"/>
      <c r="S42" s="38" t="n">
        <f aca="false">$D42*R42</f>
        <v>0</v>
      </c>
      <c r="T42" s="40"/>
      <c r="U42" s="38" t="n">
        <f aca="false">$D42*T42</f>
        <v>0</v>
      </c>
      <c r="V42" s="40"/>
      <c r="W42" s="38" t="n">
        <f aca="false">$D42*V42</f>
        <v>0</v>
      </c>
      <c r="X42" s="40"/>
      <c r="Y42" s="38" t="n">
        <f aca="false">$D42*X42</f>
        <v>0</v>
      </c>
      <c r="Z42" s="41"/>
      <c r="AA42" s="42" t="n">
        <f aca="false">$D42*Z42</f>
        <v>0</v>
      </c>
      <c r="AB42" s="43"/>
      <c r="AC42" s="42" t="n">
        <f aca="false">$D42*AB42</f>
        <v>0</v>
      </c>
      <c r="AD42" s="43"/>
      <c r="AE42" s="42" t="n">
        <f aca="false">$D42*AD42</f>
        <v>0</v>
      </c>
      <c r="AF42" s="43"/>
      <c r="AG42" s="42" t="n">
        <f aca="false">$D42*AF42</f>
        <v>0</v>
      </c>
      <c r="AH42" s="43"/>
      <c r="AI42" s="42" t="n">
        <f aca="false">$D42*AH42</f>
        <v>0</v>
      </c>
      <c r="AJ42" s="43"/>
      <c r="AK42" s="42" t="n">
        <f aca="false">$D42*AJ42</f>
        <v>0</v>
      </c>
      <c r="AL42" s="43"/>
      <c r="AM42" s="42" t="n">
        <f aca="false">$D42*AL42</f>
        <v>0</v>
      </c>
      <c r="AN42" s="43"/>
      <c r="AO42" s="42" t="n">
        <f aca="false">$D42*AN42</f>
        <v>0</v>
      </c>
      <c r="AP42" s="43"/>
      <c r="AQ42" s="42" t="n">
        <f aca="false">$D42*AP42</f>
        <v>0</v>
      </c>
      <c r="AR42" s="43"/>
      <c r="AS42" s="42" t="n">
        <f aca="false">$D42*AR42</f>
        <v>0</v>
      </c>
      <c r="AT42" s="43"/>
      <c r="AU42" s="42" t="n">
        <f aca="false">$D42*AT42</f>
        <v>0</v>
      </c>
      <c r="AV42" s="43"/>
      <c r="AW42" s="42" t="n">
        <f aca="false">$D42*AV42</f>
        <v>0</v>
      </c>
      <c r="AX42" s="43"/>
      <c r="AY42" s="42" t="n">
        <f aca="false">$D42*AX42</f>
        <v>0</v>
      </c>
      <c r="AZ42" s="44" t="n">
        <f aca="false">H42+J42+L42+N42+P42+R42+T42+V42+X42+Z42+AB42+AD42+AF42+AH42+AJ42+AL42+AN42+AP42+AR42+AT42+AV42+AX42</f>
        <v>0</v>
      </c>
      <c r="BA42" s="42" t="n">
        <f aca="false">$D42*AZ42</f>
        <v>0</v>
      </c>
    </row>
    <row r="43" customFormat="false" ht="18" hidden="false" customHeight="true" outlineLevel="0" collapsed="false">
      <c r="A43" s="0" t="s">
        <v>12</v>
      </c>
      <c r="B43" s="72" t="n">
        <v>14</v>
      </c>
      <c r="C43" s="73" t="s">
        <v>54</v>
      </c>
      <c r="D43" s="74" t="n">
        <v>12</v>
      </c>
      <c r="E43" s="71" t="n">
        <v>14</v>
      </c>
      <c r="F43" s="50" t="s">
        <v>54</v>
      </c>
      <c r="G43" s="51" t="n">
        <v>12</v>
      </c>
      <c r="H43" s="39"/>
      <c r="I43" s="38" t="n">
        <f aca="false">$D43*H43</f>
        <v>0</v>
      </c>
      <c r="J43" s="39"/>
      <c r="K43" s="38" t="n">
        <f aca="false">$D43*J43</f>
        <v>0</v>
      </c>
      <c r="L43" s="39"/>
      <c r="M43" s="38" t="n">
        <f aca="false">$D43*L43</f>
        <v>0</v>
      </c>
      <c r="N43" s="40"/>
      <c r="O43" s="38" t="n">
        <f aca="false">$D43*N43</f>
        <v>0</v>
      </c>
      <c r="P43" s="40"/>
      <c r="Q43" s="38" t="n">
        <f aca="false">$D43*P43</f>
        <v>0</v>
      </c>
      <c r="R43" s="40"/>
      <c r="S43" s="38" t="n">
        <f aca="false">$D43*R43</f>
        <v>0</v>
      </c>
      <c r="T43" s="40"/>
      <c r="U43" s="38" t="n">
        <f aca="false">$D43*T43</f>
        <v>0</v>
      </c>
      <c r="V43" s="40"/>
      <c r="W43" s="38" t="n">
        <f aca="false">$D43*V43</f>
        <v>0</v>
      </c>
      <c r="X43" s="40"/>
      <c r="Y43" s="38" t="n">
        <f aca="false">$D43*X43</f>
        <v>0</v>
      </c>
      <c r="Z43" s="41"/>
      <c r="AA43" s="42" t="n">
        <f aca="false">$D43*Z43</f>
        <v>0</v>
      </c>
      <c r="AB43" s="43"/>
      <c r="AC43" s="42" t="n">
        <f aca="false">$D43*AB43</f>
        <v>0</v>
      </c>
      <c r="AD43" s="43"/>
      <c r="AE43" s="42" t="n">
        <f aca="false">$D43*AD43</f>
        <v>0</v>
      </c>
      <c r="AF43" s="43"/>
      <c r="AG43" s="42" t="n">
        <f aca="false">$D43*AF43</f>
        <v>0</v>
      </c>
      <c r="AH43" s="43"/>
      <c r="AI43" s="42" t="n">
        <f aca="false">$D43*AH43</f>
        <v>0</v>
      </c>
      <c r="AJ43" s="43"/>
      <c r="AK43" s="42" t="n">
        <f aca="false">$D43*AJ43</f>
        <v>0</v>
      </c>
      <c r="AL43" s="43"/>
      <c r="AM43" s="42" t="n">
        <f aca="false">$D43*AL43</f>
        <v>0</v>
      </c>
      <c r="AN43" s="43"/>
      <c r="AO43" s="42" t="n">
        <f aca="false">$D43*AN43</f>
        <v>0</v>
      </c>
      <c r="AP43" s="43"/>
      <c r="AQ43" s="42" t="n">
        <f aca="false">$D43*AP43</f>
        <v>0</v>
      </c>
      <c r="AR43" s="43"/>
      <c r="AS43" s="42" t="n">
        <f aca="false">$D43*AR43</f>
        <v>0</v>
      </c>
      <c r="AT43" s="43"/>
      <c r="AU43" s="42" t="n">
        <f aca="false">$D43*AT43</f>
        <v>0</v>
      </c>
      <c r="AV43" s="43"/>
      <c r="AW43" s="42" t="n">
        <f aca="false">$D43*AV43</f>
        <v>0</v>
      </c>
      <c r="AX43" s="43"/>
      <c r="AY43" s="42" t="n">
        <f aca="false">$D43*AX43</f>
        <v>0</v>
      </c>
      <c r="AZ43" s="44" t="n">
        <f aca="false">H43+J43+L43+N43+P43+R43+T43+V43+X43+Z43+AB43+AD43+AF43+AH43+AJ43+AL43+AN43+AP43+AR43+AT43+AV43+AX43</f>
        <v>0</v>
      </c>
      <c r="BA43" s="42" t="n">
        <f aca="false">$D43*AZ43</f>
        <v>0</v>
      </c>
    </row>
    <row r="44" customFormat="false" ht="18" hidden="false" customHeight="true" outlineLevel="0" collapsed="false">
      <c r="A44" s="0" t="s">
        <v>12</v>
      </c>
      <c r="B44" s="62"/>
      <c r="C44" s="63" t="s">
        <v>55</v>
      </c>
      <c r="D44" s="64"/>
      <c r="E44" s="76"/>
      <c r="F44" s="77" t="s">
        <v>55</v>
      </c>
      <c r="G44" s="78"/>
      <c r="H44" s="39"/>
      <c r="I44" s="38" t="n">
        <f aca="false">$D44*H44</f>
        <v>0</v>
      </c>
      <c r="J44" s="39"/>
      <c r="K44" s="38" t="n">
        <f aca="false">$D44*J44</f>
        <v>0</v>
      </c>
      <c r="L44" s="39"/>
      <c r="M44" s="38" t="n">
        <f aca="false">$D44*L44</f>
        <v>0</v>
      </c>
      <c r="N44" s="40"/>
      <c r="O44" s="38" t="n">
        <f aca="false">$D44*N44</f>
        <v>0</v>
      </c>
      <c r="P44" s="40"/>
      <c r="Q44" s="38" t="n">
        <f aca="false">$D44*P44</f>
        <v>0</v>
      </c>
      <c r="R44" s="40"/>
      <c r="S44" s="38" t="n">
        <f aca="false">$D44*R44</f>
        <v>0</v>
      </c>
      <c r="T44" s="40"/>
      <c r="U44" s="38" t="n">
        <f aca="false">$D44*T44</f>
        <v>0</v>
      </c>
      <c r="V44" s="40"/>
      <c r="W44" s="38" t="n">
        <f aca="false">$D44*V44</f>
        <v>0</v>
      </c>
      <c r="X44" s="40"/>
      <c r="Y44" s="38" t="n">
        <f aca="false">$D44*X44</f>
        <v>0</v>
      </c>
      <c r="Z44" s="41"/>
      <c r="AA44" s="42" t="n">
        <f aca="false">$D44*Z44</f>
        <v>0</v>
      </c>
      <c r="AB44" s="43"/>
      <c r="AC44" s="42" t="n">
        <f aca="false">$D44*AB44</f>
        <v>0</v>
      </c>
      <c r="AD44" s="43"/>
      <c r="AE44" s="42" t="n">
        <f aca="false">$D44*AD44</f>
        <v>0</v>
      </c>
      <c r="AF44" s="43"/>
      <c r="AG44" s="42" t="n">
        <f aca="false">$D44*AF44</f>
        <v>0</v>
      </c>
      <c r="AH44" s="43"/>
      <c r="AI44" s="42" t="n">
        <f aca="false">$D44*AH44</f>
        <v>0</v>
      </c>
      <c r="AJ44" s="43"/>
      <c r="AK44" s="42" t="n">
        <f aca="false">$D44*AJ44</f>
        <v>0</v>
      </c>
      <c r="AL44" s="43"/>
      <c r="AM44" s="42" t="n">
        <f aca="false">$D44*AL44</f>
        <v>0</v>
      </c>
      <c r="AN44" s="43"/>
      <c r="AO44" s="42" t="n">
        <f aca="false">$D44*AN44</f>
        <v>0</v>
      </c>
      <c r="AP44" s="43"/>
      <c r="AQ44" s="42" t="n">
        <f aca="false">$D44*AP44</f>
        <v>0</v>
      </c>
      <c r="AR44" s="43"/>
      <c r="AS44" s="42" t="n">
        <f aca="false">$D44*AR44</f>
        <v>0</v>
      </c>
      <c r="AT44" s="43"/>
      <c r="AU44" s="42" t="n">
        <f aca="false">$D44*AT44</f>
        <v>0</v>
      </c>
      <c r="AV44" s="43"/>
      <c r="AW44" s="42" t="n">
        <f aca="false">$D44*AV44</f>
        <v>0</v>
      </c>
      <c r="AX44" s="43"/>
      <c r="AY44" s="42" t="n">
        <f aca="false">$D44*AX44</f>
        <v>0</v>
      </c>
      <c r="AZ44" s="44" t="n">
        <f aca="false">H44+J44+L44+N44+P44+R44+T44+V44+X44+Z44+AB44+AD44+AF44+AH44+AJ44+AL44+AN44+AP44+AR44+AT44+AV44+AX44</f>
        <v>0</v>
      </c>
      <c r="BA44" s="42" t="n">
        <f aca="false">$D44*AZ44</f>
        <v>0</v>
      </c>
    </row>
    <row r="45" customFormat="false" ht="18" hidden="false" customHeight="true" outlineLevel="0" collapsed="false">
      <c r="A45" s="0" t="s">
        <v>12</v>
      </c>
      <c r="B45" s="68" t="n">
        <v>16</v>
      </c>
      <c r="C45" s="69" t="s">
        <v>56</v>
      </c>
      <c r="D45" s="58" t="n">
        <v>12</v>
      </c>
      <c r="E45" s="75" t="n">
        <f aca="false">B45</f>
        <v>16</v>
      </c>
      <c r="F45" s="53" t="str">
        <f aca="false">C45</f>
        <v>Cerveja Budweiser</v>
      </c>
      <c r="G45" s="54" t="n">
        <f aca="false">D45</f>
        <v>12</v>
      </c>
      <c r="H45" s="39"/>
      <c r="I45" s="38" t="n">
        <f aca="false">$D45*H45</f>
        <v>0</v>
      </c>
      <c r="J45" s="39"/>
      <c r="K45" s="38" t="n">
        <f aca="false">$D45*J45</f>
        <v>0</v>
      </c>
      <c r="L45" s="39"/>
      <c r="M45" s="38" t="n">
        <f aca="false">$D45*L45</f>
        <v>0</v>
      </c>
      <c r="N45" s="40"/>
      <c r="O45" s="38" t="n">
        <f aca="false">$D45*N45</f>
        <v>0</v>
      </c>
      <c r="P45" s="40"/>
      <c r="Q45" s="38" t="n">
        <f aca="false">$D45*P45</f>
        <v>0</v>
      </c>
      <c r="R45" s="40"/>
      <c r="S45" s="38" t="n">
        <f aca="false">$D45*R45</f>
        <v>0</v>
      </c>
      <c r="T45" s="40"/>
      <c r="U45" s="38" t="n">
        <f aca="false">$D45*T45</f>
        <v>0</v>
      </c>
      <c r="V45" s="40"/>
      <c r="W45" s="38" t="n">
        <f aca="false">$D45*V45</f>
        <v>0</v>
      </c>
      <c r="X45" s="40"/>
      <c r="Y45" s="38" t="n">
        <f aca="false">$D45*X45</f>
        <v>0</v>
      </c>
      <c r="Z45" s="41"/>
      <c r="AA45" s="42" t="n">
        <f aca="false">$D45*Z45</f>
        <v>0</v>
      </c>
      <c r="AB45" s="43"/>
      <c r="AC45" s="42" t="n">
        <f aca="false">$D45*AB45</f>
        <v>0</v>
      </c>
      <c r="AD45" s="43"/>
      <c r="AE45" s="42" t="n">
        <f aca="false">$D45*AD45</f>
        <v>0</v>
      </c>
      <c r="AF45" s="43"/>
      <c r="AG45" s="42" t="n">
        <f aca="false">$D45*AF45</f>
        <v>0</v>
      </c>
      <c r="AH45" s="43"/>
      <c r="AI45" s="42" t="n">
        <f aca="false">$D45*AH45</f>
        <v>0</v>
      </c>
      <c r="AJ45" s="43"/>
      <c r="AK45" s="42" t="n">
        <f aca="false">$D45*AJ45</f>
        <v>0</v>
      </c>
      <c r="AL45" s="43"/>
      <c r="AM45" s="42" t="n">
        <f aca="false">$D45*AL45</f>
        <v>0</v>
      </c>
      <c r="AN45" s="43"/>
      <c r="AO45" s="42" t="n">
        <f aca="false">$D45*AN45</f>
        <v>0</v>
      </c>
      <c r="AP45" s="43"/>
      <c r="AQ45" s="42" t="n">
        <f aca="false">$D45*AP45</f>
        <v>0</v>
      </c>
      <c r="AR45" s="43"/>
      <c r="AS45" s="42" t="n">
        <f aca="false">$D45*AR45</f>
        <v>0</v>
      </c>
      <c r="AT45" s="43"/>
      <c r="AU45" s="42" t="n">
        <f aca="false">$D45*AT45</f>
        <v>0</v>
      </c>
      <c r="AV45" s="43"/>
      <c r="AW45" s="42" t="n">
        <f aca="false">$D45*AV45</f>
        <v>0</v>
      </c>
      <c r="AX45" s="43"/>
      <c r="AY45" s="42" t="n">
        <f aca="false">$D45*AX45</f>
        <v>0</v>
      </c>
      <c r="AZ45" s="44" t="n">
        <f aca="false">H45+J45+L45+N45+P45+R45+T45+V45+X45+Z45+AB45+AD45+AF45+AH45+AJ45+AL45+AN45+AP45+AR45+AT45+AV45+AX45</f>
        <v>0</v>
      </c>
      <c r="BA45" s="42" t="n">
        <f aca="false">$D45*AZ45</f>
        <v>0</v>
      </c>
    </row>
    <row r="46" customFormat="false" ht="18" hidden="false" customHeight="true" outlineLevel="0" collapsed="false">
      <c r="A46" s="0" t="s">
        <v>12</v>
      </c>
      <c r="B46" s="71" t="n">
        <v>57</v>
      </c>
      <c r="C46" s="50" t="s">
        <v>57</v>
      </c>
      <c r="D46" s="51" t="n">
        <v>12</v>
      </c>
      <c r="E46" s="75" t="n">
        <f aca="false">B46</f>
        <v>57</v>
      </c>
      <c r="F46" s="53" t="str">
        <f aca="false">C46</f>
        <v>Cerveja Budweiser ZERO</v>
      </c>
      <c r="G46" s="54" t="n">
        <f aca="false">D46</f>
        <v>12</v>
      </c>
      <c r="H46" s="39"/>
      <c r="I46" s="38" t="n">
        <f aca="false">$D46*H46</f>
        <v>0</v>
      </c>
      <c r="J46" s="39"/>
      <c r="K46" s="38" t="n">
        <f aca="false">$D46*J46</f>
        <v>0</v>
      </c>
      <c r="L46" s="39"/>
      <c r="M46" s="38" t="n">
        <f aca="false">$D46*L46</f>
        <v>0</v>
      </c>
      <c r="N46" s="40"/>
      <c r="O46" s="38" t="n">
        <f aca="false">$D46*N46</f>
        <v>0</v>
      </c>
      <c r="P46" s="40"/>
      <c r="Q46" s="38" t="n">
        <f aca="false">$D46*P46</f>
        <v>0</v>
      </c>
      <c r="R46" s="40"/>
      <c r="S46" s="38" t="n">
        <f aca="false">$D46*R46</f>
        <v>0</v>
      </c>
      <c r="T46" s="40"/>
      <c r="U46" s="38" t="n">
        <f aca="false">$D46*T46</f>
        <v>0</v>
      </c>
      <c r="V46" s="40"/>
      <c r="W46" s="38" t="n">
        <f aca="false">$D46*V46</f>
        <v>0</v>
      </c>
      <c r="X46" s="40"/>
      <c r="Y46" s="38" t="n">
        <f aca="false">$D46*X46</f>
        <v>0</v>
      </c>
      <c r="Z46" s="41"/>
      <c r="AA46" s="42" t="n">
        <f aca="false">$D46*Z46</f>
        <v>0</v>
      </c>
      <c r="AB46" s="43"/>
      <c r="AC46" s="42" t="n">
        <f aca="false">$D46*AB46</f>
        <v>0</v>
      </c>
      <c r="AD46" s="43"/>
      <c r="AE46" s="42" t="n">
        <f aca="false">$D46*AD46</f>
        <v>0</v>
      </c>
      <c r="AF46" s="43"/>
      <c r="AG46" s="42" t="n">
        <f aca="false">$D46*AF46</f>
        <v>0</v>
      </c>
      <c r="AH46" s="43"/>
      <c r="AI46" s="42" t="n">
        <f aca="false">$D46*AH46</f>
        <v>0</v>
      </c>
      <c r="AJ46" s="43"/>
      <c r="AK46" s="42" t="n">
        <f aca="false">$D46*AJ46</f>
        <v>0</v>
      </c>
      <c r="AL46" s="43"/>
      <c r="AM46" s="42" t="n">
        <f aca="false">$D46*AL46</f>
        <v>0</v>
      </c>
      <c r="AN46" s="43"/>
      <c r="AO46" s="42" t="n">
        <f aca="false">$D46*AN46</f>
        <v>0</v>
      </c>
      <c r="AP46" s="43"/>
      <c r="AQ46" s="42" t="n">
        <f aca="false">$D46*AP46</f>
        <v>0</v>
      </c>
      <c r="AR46" s="43"/>
      <c r="AS46" s="42" t="n">
        <f aca="false">$D46*AR46</f>
        <v>0</v>
      </c>
      <c r="AT46" s="43"/>
      <c r="AU46" s="42" t="n">
        <f aca="false">$D46*AT46</f>
        <v>0</v>
      </c>
      <c r="AV46" s="43"/>
      <c r="AW46" s="42" t="n">
        <f aca="false">$D46*AV46</f>
        <v>0</v>
      </c>
      <c r="AX46" s="43"/>
      <c r="AY46" s="42" t="n">
        <f aca="false">$D46*AX46</f>
        <v>0</v>
      </c>
      <c r="AZ46" s="44" t="n">
        <f aca="false">H46+J46+L46+N46+P46+R46+T46+V46+X46+Z46+AB46+AD46+AF46+AH46+AJ46+AL46+AN46+AP46+AR46+AT46+AV46+AX46</f>
        <v>0</v>
      </c>
      <c r="BA46" s="42" t="n">
        <f aca="false">$D46*AZ46</f>
        <v>0</v>
      </c>
    </row>
    <row r="47" customFormat="false" ht="18" hidden="false" customHeight="true" outlineLevel="0" collapsed="false">
      <c r="A47" s="0" t="s">
        <v>12</v>
      </c>
      <c r="B47" s="72" t="n">
        <v>15</v>
      </c>
      <c r="C47" s="73" t="s">
        <v>58</v>
      </c>
      <c r="D47" s="74" t="n">
        <v>12</v>
      </c>
      <c r="E47" s="75" t="n">
        <f aca="false">B47</f>
        <v>15</v>
      </c>
      <c r="F47" s="53" t="str">
        <f aca="false">C47</f>
        <v>Cerveja Heineken</v>
      </c>
      <c r="G47" s="54" t="n">
        <f aca="false">D47</f>
        <v>12</v>
      </c>
      <c r="H47" s="39"/>
      <c r="I47" s="38" t="n">
        <f aca="false">$D47*H47</f>
        <v>0</v>
      </c>
      <c r="J47" s="39"/>
      <c r="K47" s="38" t="n">
        <f aca="false">$D47*J47</f>
        <v>0</v>
      </c>
      <c r="L47" s="39"/>
      <c r="M47" s="38" t="n">
        <f aca="false">$D47*L47</f>
        <v>0</v>
      </c>
      <c r="N47" s="40"/>
      <c r="O47" s="38" t="n">
        <f aca="false">$D47*N47</f>
        <v>0</v>
      </c>
      <c r="P47" s="40"/>
      <c r="Q47" s="38" t="n">
        <f aca="false">$D47*P47</f>
        <v>0</v>
      </c>
      <c r="R47" s="40"/>
      <c r="S47" s="38" t="n">
        <f aca="false">$D47*R47</f>
        <v>0</v>
      </c>
      <c r="T47" s="40"/>
      <c r="U47" s="38" t="n">
        <f aca="false">$D47*T47</f>
        <v>0</v>
      </c>
      <c r="V47" s="40"/>
      <c r="W47" s="38" t="n">
        <f aca="false">$D47*V47</f>
        <v>0</v>
      </c>
      <c r="X47" s="40"/>
      <c r="Y47" s="38" t="n">
        <f aca="false">$D47*X47</f>
        <v>0</v>
      </c>
      <c r="Z47" s="41"/>
      <c r="AA47" s="42" t="n">
        <f aca="false">$D47*Z47</f>
        <v>0</v>
      </c>
      <c r="AB47" s="43"/>
      <c r="AC47" s="42" t="n">
        <f aca="false">$D47*AB47</f>
        <v>0</v>
      </c>
      <c r="AD47" s="43"/>
      <c r="AE47" s="42" t="n">
        <f aca="false">$D47*AD47</f>
        <v>0</v>
      </c>
      <c r="AF47" s="43"/>
      <c r="AG47" s="42" t="n">
        <f aca="false">$D47*AF47</f>
        <v>0</v>
      </c>
      <c r="AH47" s="43"/>
      <c r="AI47" s="42" t="n">
        <f aca="false">$D47*AH47</f>
        <v>0</v>
      </c>
      <c r="AJ47" s="43"/>
      <c r="AK47" s="42" t="n">
        <f aca="false">$D47*AJ47</f>
        <v>0</v>
      </c>
      <c r="AL47" s="43"/>
      <c r="AM47" s="42" t="n">
        <f aca="false">$D47*AL47</f>
        <v>0</v>
      </c>
      <c r="AN47" s="43"/>
      <c r="AO47" s="42" t="n">
        <f aca="false">$D47*AN47</f>
        <v>0</v>
      </c>
      <c r="AP47" s="43"/>
      <c r="AQ47" s="42" t="n">
        <f aca="false">$D47*AP47</f>
        <v>0</v>
      </c>
      <c r="AR47" s="43"/>
      <c r="AS47" s="42" t="n">
        <f aca="false">$D47*AR47</f>
        <v>0</v>
      </c>
      <c r="AT47" s="43"/>
      <c r="AU47" s="42" t="n">
        <f aca="false">$D47*AT47</f>
        <v>0</v>
      </c>
      <c r="AV47" s="43"/>
      <c r="AW47" s="42" t="n">
        <f aca="false">$D47*AV47</f>
        <v>0</v>
      </c>
      <c r="AX47" s="43"/>
      <c r="AY47" s="42" t="n">
        <f aca="false">$D47*AX47</f>
        <v>0</v>
      </c>
      <c r="AZ47" s="44" t="n">
        <f aca="false">H47+J47+L47+N47+P47+R47+T47+V47+X47+Z47+AB47+AD47+AF47+AH47+AJ47+AL47+AN47+AP47+AR47+AT47+AV47+AX47</f>
        <v>0</v>
      </c>
      <c r="BA47" s="42" t="n">
        <f aca="false">$D47*AZ47</f>
        <v>0</v>
      </c>
    </row>
    <row r="48" customFormat="false" ht="18.75" hidden="false" customHeight="true" outlineLevel="0" collapsed="false">
      <c r="A48" s="0" t="s">
        <v>12</v>
      </c>
      <c r="B48" s="79"/>
      <c r="C48" s="21" t="s">
        <v>59</v>
      </c>
      <c r="D48" s="80"/>
      <c r="E48" s="81"/>
      <c r="F48" s="77" t="s">
        <v>59</v>
      </c>
      <c r="G48" s="78"/>
      <c r="H48" s="39"/>
      <c r="I48" s="38" t="n">
        <f aca="false">$D48*H48</f>
        <v>0</v>
      </c>
      <c r="J48" s="39"/>
      <c r="K48" s="38" t="n">
        <f aca="false">$D48*J48</f>
        <v>0</v>
      </c>
      <c r="L48" s="39"/>
      <c r="M48" s="38" t="n">
        <f aca="false">$D48*L48</f>
        <v>0</v>
      </c>
      <c r="N48" s="40"/>
      <c r="O48" s="38" t="n">
        <f aca="false">$D48*N48</f>
        <v>0</v>
      </c>
      <c r="P48" s="40"/>
      <c r="Q48" s="38" t="n">
        <f aca="false">$D48*P48</f>
        <v>0</v>
      </c>
      <c r="R48" s="40"/>
      <c r="S48" s="38" t="n">
        <f aca="false">$D48*R48</f>
        <v>0</v>
      </c>
      <c r="T48" s="40"/>
      <c r="U48" s="38" t="n">
        <f aca="false">$D48*T48</f>
        <v>0</v>
      </c>
      <c r="V48" s="40"/>
      <c r="W48" s="38" t="n">
        <f aca="false">$D48*V48</f>
        <v>0</v>
      </c>
      <c r="X48" s="40"/>
      <c r="Y48" s="38" t="n">
        <f aca="false">$D48*X48</f>
        <v>0</v>
      </c>
      <c r="Z48" s="41"/>
      <c r="AA48" s="42" t="n">
        <f aca="false">$D48*Z48</f>
        <v>0</v>
      </c>
      <c r="AB48" s="43"/>
      <c r="AC48" s="42" t="n">
        <f aca="false">$D48*AB48</f>
        <v>0</v>
      </c>
      <c r="AD48" s="43"/>
      <c r="AE48" s="42" t="n">
        <f aca="false">$D48*AD48</f>
        <v>0</v>
      </c>
      <c r="AF48" s="43"/>
      <c r="AG48" s="42" t="n">
        <f aca="false">$D48*AF48</f>
        <v>0</v>
      </c>
      <c r="AH48" s="43"/>
      <c r="AI48" s="42" t="n">
        <f aca="false">$D48*AH48</f>
        <v>0</v>
      </c>
      <c r="AJ48" s="43"/>
      <c r="AK48" s="42" t="n">
        <f aca="false">$D48*AJ48</f>
        <v>0</v>
      </c>
      <c r="AL48" s="43"/>
      <c r="AM48" s="42" t="n">
        <f aca="false">$D48*AL48</f>
        <v>0</v>
      </c>
      <c r="AN48" s="43"/>
      <c r="AO48" s="42" t="n">
        <f aca="false">$D48*AN48</f>
        <v>0</v>
      </c>
      <c r="AP48" s="43"/>
      <c r="AQ48" s="42" t="n">
        <f aca="false">$D48*AP48</f>
        <v>0</v>
      </c>
      <c r="AR48" s="43"/>
      <c r="AS48" s="42" t="n">
        <f aca="false">$D48*AR48</f>
        <v>0</v>
      </c>
      <c r="AT48" s="43"/>
      <c r="AU48" s="42" t="n">
        <f aca="false">$D48*AT48</f>
        <v>0</v>
      </c>
      <c r="AV48" s="43"/>
      <c r="AW48" s="42" t="n">
        <f aca="false">$D48*AV48</f>
        <v>0</v>
      </c>
      <c r="AX48" s="43"/>
      <c r="AY48" s="42" t="n">
        <f aca="false">$D48*AX48</f>
        <v>0</v>
      </c>
      <c r="AZ48" s="44" t="n">
        <f aca="false">H48+J48+L48+N48+P48+R48+T48+V48+X48+Z48+AB48+AD48+AF48+AH48+AJ48+AL48+AN48+AP48+AR48+AT48+AV48+AX48</f>
        <v>0</v>
      </c>
      <c r="BA48" s="42" t="n">
        <f aca="false">$D48*AZ48</f>
        <v>0</v>
      </c>
    </row>
    <row r="49" customFormat="false" ht="18" hidden="false" customHeight="true" outlineLevel="0" collapsed="false">
      <c r="A49" s="0" t="s">
        <v>12</v>
      </c>
      <c r="B49" s="82" t="n">
        <v>31</v>
      </c>
      <c r="C49" s="32" t="s">
        <v>60</v>
      </c>
      <c r="D49" s="33" t="n">
        <v>15</v>
      </c>
      <c r="E49" s="83" t="n">
        <f aca="false">B49</f>
        <v>31</v>
      </c>
      <c r="F49" s="53" t="str">
        <f aca="false">C49</f>
        <v>Gin Beefeater</v>
      </c>
      <c r="G49" s="54" t="n">
        <f aca="false">D49</f>
        <v>15</v>
      </c>
      <c r="H49" s="39"/>
      <c r="I49" s="38" t="n">
        <f aca="false">$D49*H49</f>
        <v>0</v>
      </c>
      <c r="J49" s="39"/>
      <c r="K49" s="38" t="n">
        <f aca="false">$D49*J49</f>
        <v>0</v>
      </c>
      <c r="L49" s="39"/>
      <c r="M49" s="38" t="n">
        <f aca="false">$D49*L49</f>
        <v>0</v>
      </c>
      <c r="N49" s="40"/>
      <c r="O49" s="38" t="n">
        <f aca="false">$D49*N49</f>
        <v>0</v>
      </c>
      <c r="P49" s="40"/>
      <c r="Q49" s="38" t="n">
        <f aca="false">$D49*P49</f>
        <v>0</v>
      </c>
      <c r="R49" s="40"/>
      <c r="S49" s="38" t="n">
        <f aca="false">$D49*R49</f>
        <v>0</v>
      </c>
      <c r="T49" s="40"/>
      <c r="U49" s="38" t="n">
        <f aca="false">$D49*T49</f>
        <v>0</v>
      </c>
      <c r="V49" s="40"/>
      <c r="W49" s="38" t="n">
        <f aca="false">$D49*V49</f>
        <v>0</v>
      </c>
      <c r="X49" s="40"/>
      <c r="Y49" s="38" t="n">
        <f aca="false">$D49*X49</f>
        <v>0</v>
      </c>
      <c r="Z49" s="41"/>
      <c r="AA49" s="42" t="n">
        <f aca="false">$D49*Z49</f>
        <v>0</v>
      </c>
      <c r="AB49" s="43"/>
      <c r="AC49" s="42" t="n">
        <f aca="false">$D49*AB49</f>
        <v>0</v>
      </c>
      <c r="AD49" s="43"/>
      <c r="AE49" s="42" t="n">
        <f aca="false">$D49*AD49</f>
        <v>0</v>
      </c>
      <c r="AF49" s="43"/>
      <c r="AG49" s="42" t="n">
        <f aca="false">$D49*AF49</f>
        <v>0</v>
      </c>
      <c r="AH49" s="43"/>
      <c r="AI49" s="42" t="n">
        <f aca="false">$D49*AH49</f>
        <v>0</v>
      </c>
      <c r="AJ49" s="43"/>
      <c r="AK49" s="42" t="n">
        <f aca="false">$D49*AJ49</f>
        <v>0</v>
      </c>
      <c r="AL49" s="43"/>
      <c r="AM49" s="42" t="n">
        <f aca="false">$D49*AL49</f>
        <v>0</v>
      </c>
      <c r="AN49" s="43"/>
      <c r="AO49" s="42" t="n">
        <f aca="false">$D49*AN49</f>
        <v>0</v>
      </c>
      <c r="AP49" s="43"/>
      <c r="AQ49" s="42" t="n">
        <f aca="false">$D49*AP49</f>
        <v>0</v>
      </c>
      <c r="AR49" s="43"/>
      <c r="AS49" s="42" t="n">
        <f aca="false">$D49*AR49</f>
        <v>0</v>
      </c>
      <c r="AT49" s="43"/>
      <c r="AU49" s="42" t="n">
        <f aca="false">$D49*AT49</f>
        <v>0</v>
      </c>
      <c r="AV49" s="43"/>
      <c r="AW49" s="42" t="n">
        <f aca="false">$D49*AV49</f>
        <v>0</v>
      </c>
      <c r="AX49" s="43"/>
      <c r="AY49" s="42" t="n">
        <f aca="false">$D49*AX49</f>
        <v>0</v>
      </c>
      <c r="AZ49" s="44" t="n">
        <f aca="false">H49+J49+L49+N49+P49+R49+T49+V49+X49+Z49+AB49+AD49+AF49+AH49+AJ49+AL49+AN49+AP49+AR49+AT49+AV49+AX49</f>
        <v>0</v>
      </c>
      <c r="BA49" s="42" t="n">
        <f aca="false">$D49*AZ49</f>
        <v>0</v>
      </c>
    </row>
    <row r="50" customFormat="false" ht="15" hidden="true" customHeight="true" outlineLevel="0" collapsed="false">
      <c r="A50" s="0" t="s">
        <v>15</v>
      </c>
      <c r="B50" s="75" t="n">
        <v>32</v>
      </c>
      <c r="C50" s="53" t="s">
        <v>61</v>
      </c>
      <c r="D50" s="54" t="n">
        <v>15</v>
      </c>
      <c r="E50" s="83" t="n">
        <f aca="false">B50</f>
        <v>32</v>
      </c>
      <c r="F50" s="53" t="str">
        <f aca="false">C50</f>
        <v>Gin Gordon´s</v>
      </c>
      <c r="G50" s="54" t="n">
        <f aca="false">D50</f>
        <v>15</v>
      </c>
      <c r="H50" s="39"/>
      <c r="I50" s="38" t="n">
        <f aca="false">$D50*H50</f>
        <v>0</v>
      </c>
      <c r="J50" s="39"/>
      <c r="K50" s="38" t="n">
        <f aca="false">$D50*J50</f>
        <v>0</v>
      </c>
      <c r="L50" s="39"/>
      <c r="M50" s="38" t="n">
        <f aca="false">$D50*L50</f>
        <v>0</v>
      </c>
      <c r="N50" s="40"/>
      <c r="O50" s="38" t="n">
        <f aca="false">$D50*N50</f>
        <v>0</v>
      </c>
      <c r="P50" s="40"/>
      <c r="Q50" s="38" t="n">
        <f aca="false">$D50*P50</f>
        <v>0</v>
      </c>
      <c r="R50" s="40"/>
      <c r="S50" s="38" t="n">
        <f aca="false">$D50*R50</f>
        <v>0</v>
      </c>
      <c r="T50" s="40"/>
      <c r="U50" s="38" t="n">
        <f aca="false">$D50*T50</f>
        <v>0</v>
      </c>
      <c r="V50" s="40"/>
      <c r="W50" s="38" t="n">
        <f aca="false">$D50*V50</f>
        <v>0</v>
      </c>
      <c r="X50" s="40"/>
      <c r="Y50" s="38" t="n">
        <f aca="false">$D50*X50</f>
        <v>0</v>
      </c>
      <c r="Z50" s="41"/>
      <c r="AA50" s="42" t="n">
        <f aca="false">$D50*Z50</f>
        <v>0</v>
      </c>
      <c r="AB50" s="43"/>
      <c r="AC50" s="42" t="n">
        <f aca="false">$D50*AB50</f>
        <v>0</v>
      </c>
      <c r="AD50" s="43"/>
      <c r="AE50" s="42" t="n">
        <f aca="false">$D50*AD50</f>
        <v>0</v>
      </c>
      <c r="AF50" s="43"/>
      <c r="AG50" s="42" t="n">
        <f aca="false">$D50*AF50</f>
        <v>0</v>
      </c>
      <c r="AH50" s="43"/>
      <c r="AI50" s="42" t="n">
        <f aca="false">$D50*AH50</f>
        <v>0</v>
      </c>
      <c r="AJ50" s="43"/>
      <c r="AK50" s="42" t="n">
        <f aca="false">$D50*AJ50</f>
        <v>0</v>
      </c>
      <c r="AL50" s="43"/>
      <c r="AM50" s="42" t="n">
        <f aca="false">$D50*AL50</f>
        <v>0</v>
      </c>
      <c r="AN50" s="43"/>
      <c r="AO50" s="42" t="n">
        <f aca="false">$D50*AN50</f>
        <v>0</v>
      </c>
      <c r="AP50" s="43"/>
      <c r="AQ50" s="42" t="n">
        <f aca="false">$D50*AP50</f>
        <v>0</v>
      </c>
      <c r="AR50" s="43"/>
      <c r="AS50" s="42" t="n">
        <f aca="false">$D50*AR50</f>
        <v>0</v>
      </c>
      <c r="AT50" s="43"/>
      <c r="AU50" s="42" t="n">
        <f aca="false">$D50*AT50</f>
        <v>0</v>
      </c>
      <c r="AV50" s="43"/>
      <c r="AW50" s="42" t="n">
        <f aca="false">$D50*AV50</f>
        <v>0</v>
      </c>
      <c r="AX50" s="43"/>
      <c r="AY50" s="42" t="n">
        <f aca="false">$D50*AX50</f>
        <v>0</v>
      </c>
      <c r="AZ50" s="44" t="n">
        <f aca="false">H50+J50+L50+N50+P50+R50+T50+V50+X50+Z50+AB50+AD50+AF50+AH50+AJ50+AL50+AN50+AP50+AR50+AT50+AV50+AX50</f>
        <v>0</v>
      </c>
      <c r="BA50" s="42" t="n">
        <f aca="false">$D50*AZ50</f>
        <v>0</v>
      </c>
    </row>
    <row r="51" customFormat="false" ht="18" hidden="false" customHeight="true" outlineLevel="0" collapsed="false">
      <c r="A51" s="0" t="s">
        <v>12</v>
      </c>
      <c r="B51" s="68" t="n">
        <v>33</v>
      </c>
      <c r="C51" s="69" t="s">
        <v>62</v>
      </c>
      <c r="D51" s="58" t="n">
        <v>15</v>
      </c>
      <c r="E51" s="83" t="n">
        <f aca="false">B51</f>
        <v>33</v>
      </c>
      <c r="F51" s="53" t="str">
        <f aca="false">C51</f>
        <v>Gin Tanqueray</v>
      </c>
      <c r="G51" s="54" t="n">
        <f aca="false">D51</f>
        <v>15</v>
      </c>
      <c r="H51" s="39"/>
      <c r="I51" s="38" t="n">
        <f aca="false">$D51*H51</f>
        <v>0</v>
      </c>
      <c r="J51" s="39"/>
      <c r="K51" s="38" t="n">
        <f aca="false">$D51*J51</f>
        <v>0</v>
      </c>
      <c r="L51" s="39"/>
      <c r="M51" s="38" t="n">
        <f aca="false">$D51*L51</f>
        <v>0</v>
      </c>
      <c r="N51" s="40"/>
      <c r="O51" s="38" t="n">
        <f aca="false">$D51*N51</f>
        <v>0</v>
      </c>
      <c r="P51" s="40"/>
      <c r="Q51" s="38" t="n">
        <f aca="false">$D51*P51</f>
        <v>0</v>
      </c>
      <c r="R51" s="40"/>
      <c r="S51" s="38" t="n">
        <f aca="false">$D51*R51</f>
        <v>0</v>
      </c>
      <c r="T51" s="40"/>
      <c r="U51" s="38" t="n">
        <f aca="false">$D51*T51</f>
        <v>0</v>
      </c>
      <c r="V51" s="40"/>
      <c r="W51" s="38" t="n">
        <f aca="false">$D51*V51</f>
        <v>0</v>
      </c>
      <c r="X51" s="40"/>
      <c r="Y51" s="38" t="n">
        <f aca="false">$D51*X51</f>
        <v>0</v>
      </c>
      <c r="Z51" s="41"/>
      <c r="AA51" s="42" t="n">
        <f aca="false">$D51*Z51</f>
        <v>0</v>
      </c>
      <c r="AB51" s="43"/>
      <c r="AC51" s="42" t="n">
        <f aca="false">$D51*AB51</f>
        <v>0</v>
      </c>
      <c r="AD51" s="43"/>
      <c r="AE51" s="42" t="n">
        <f aca="false">$D51*AD51</f>
        <v>0</v>
      </c>
      <c r="AF51" s="43"/>
      <c r="AG51" s="42" t="n">
        <f aca="false">$D51*AF51</f>
        <v>0</v>
      </c>
      <c r="AH51" s="43"/>
      <c r="AI51" s="42" t="n">
        <f aca="false">$D51*AH51</f>
        <v>0</v>
      </c>
      <c r="AJ51" s="43"/>
      <c r="AK51" s="42" t="n">
        <f aca="false">$D51*AJ51</f>
        <v>0</v>
      </c>
      <c r="AL51" s="43"/>
      <c r="AM51" s="42" t="n">
        <f aca="false">$D51*AL51</f>
        <v>0</v>
      </c>
      <c r="AN51" s="43"/>
      <c r="AO51" s="42" t="n">
        <f aca="false">$D51*AN51</f>
        <v>0</v>
      </c>
      <c r="AP51" s="43"/>
      <c r="AQ51" s="42" t="n">
        <f aca="false">$D51*AP51</f>
        <v>0</v>
      </c>
      <c r="AR51" s="43"/>
      <c r="AS51" s="42" t="n">
        <f aca="false">$D51*AR51</f>
        <v>0</v>
      </c>
      <c r="AT51" s="43"/>
      <c r="AU51" s="42" t="n">
        <f aca="false">$D51*AT51</f>
        <v>0</v>
      </c>
      <c r="AV51" s="43"/>
      <c r="AW51" s="42" t="n">
        <f aca="false">$D51*AV51</f>
        <v>0</v>
      </c>
      <c r="AX51" s="43"/>
      <c r="AY51" s="42" t="n">
        <f aca="false">$D51*AX51</f>
        <v>0</v>
      </c>
      <c r="AZ51" s="44" t="n">
        <f aca="false">H51+J51+L51+N51+P51+R51+T51+V51+X51+Z51+AB51+AD51+AF51+AH51+AJ51+AL51+AN51+AP51+AR51+AT51+AV51+AX51</f>
        <v>0</v>
      </c>
      <c r="BA51" s="42" t="n">
        <f aca="false">$D51*AZ51</f>
        <v>0</v>
      </c>
    </row>
    <row r="52" customFormat="false" ht="18" hidden="false" customHeight="true" outlineLevel="0" collapsed="false">
      <c r="A52" s="0" t="s">
        <v>12</v>
      </c>
      <c r="B52" s="68" t="n">
        <v>29</v>
      </c>
      <c r="C52" s="69" t="s">
        <v>63</v>
      </c>
      <c r="D52" s="58" t="n">
        <v>15</v>
      </c>
      <c r="E52" s="83" t="n">
        <f aca="false">B52</f>
        <v>29</v>
      </c>
      <c r="F52" s="53" t="str">
        <f aca="false">C52</f>
        <v>Vodka Absolut</v>
      </c>
      <c r="G52" s="54" t="n">
        <f aca="false">D52</f>
        <v>15</v>
      </c>
      <c r="H52" s="39"/>
      <c r="I52" s="38" t="n">
        <f aca="false">$D52*H52</f>
        <v>0</v>
      </c>
      <c r="J52" s="39"/>
      <c r="K52" s="38" t="n">
        <f aca="false">$D52*J52</f>
        <v>0</v>
      </c>
      <c r="L52" s="39"/>
      <c r="M52" s="38" t="n">
        <f aca="false">$D52*L52</f>
        <v>0</v>
      </c>
      <c r="N52" s="40"/>
      <c r="O52" s="38" t="n">
        <f aca="false">$D52*N52</f>
        <v>0</v>
      </c>
      <c r="P52" s="40"/>
      <c r="Q52" s="38" t="n">
        <f aca="false">$D52*P52</f>
        <v>0</v>
      </c>
      <c r="R52" s="40"/>
      <c r="S52" s="38" t="n">
        <f aca="false">$D52*R52</f>
        <v>0</v>
      </c>
      <c r="T52" s="40"/>
      <c r="U52" s="38" t="n">
        <f aca="false">$D52*T52</f>
        <v>0</v>
      </c>
      <c r="V52" s="40"/>
      <c r="W52" s="38" t="n">
        <f aca="false">$D52*V52</f>
        <v>0</v>
      </c>
      <c r="X52" s="40"/>
      <c r="Y52" s="38" t="n">
        <f aca="false">$D52*X52</f>
        <v>0</v>
      </c>
      <c r="Z52" s="41"/>
      <c r="AA52" s="42" t="n">
        <f aca="false">$D52*Z52</f>
        <v>0</v>
      </c>
      <c r="AB52" s="43"/>
      <c r="AC52" s="42" t="n">
        <f aca="false">$D52*AB52</f>
        <v>0</v>
      </c>
      <c r="AD52" s="43"/>
      <c r="AE52" s="42" t="n">
        <f aca="false">$D52*AD52</f>
        <v>0</v>
      </c>
      <c r="AF52" s="43"/>
      <c r="AG52" s="42" t="n">
        <f aca="false">$D52*AF52</f>
        <v>0</v>
      </c>
      <c r="AH52" s="43"/>
      <c r="AI52" s="42" t="n">
        <f aca="false">$D52*AH52</f>
        <v>0</v>
      </c>
      <c r="AJ52" s="43"/>
      <c r="AK52" s="42" t="n">
        <f aca="false">$D52*AJ52</f>
        <v>0</v>
      </c>
      <c r="AL52" s="43"/>
      <c r="AM52" s="42" t="n">
        <f aca="false">$D52*AL52</f>
        <v>0</v>
      </c>
      <c r="AN52" s="43"/>
      <c r="AO52" s="42" t="n">
        <f aca="false">$D52*AN52</f>
        <v>0</v>
      </c>
      <c r="AP52" s="43"/>
      <c r="AQ52" s="42" t="n">
        <f aca="false">$D52*AP52</f>
        <v>0</v>
      </c>
      <c r="AR52" s="43"/>
      <c r="AS52" s="42" t="n">
        <f aca="false">$D52*AR52</f>
        <v>0</v>
      </c>
      <c r="AT52" s="43"/>
      <c r="AU52" s="42" t="n">
        <f aca="false">$D52*AT52</f>
        <v>0</v>
      </c>
      <c r="AV52" s="43"/>
      <c r="AW52" s="42" t="n">
        <f aca="false">$D52*AV52</f>
        <v>0</v>
      </c>
      <c r="AX52" s="43"/>
      <c r="AY52" s="42" t="n">
        <f aca="false">$D52*AX52</f>
        <v>0</v>
      </c>
      <c r="AZ52" s="44" t="n">
        <f aca="false">H52+J52+L52+N52+P52+R52+T52+V52+X52+Z52+AB52+AD52+AF52+AH52+AJ52+AL52+AN52+AP52+AR52+AT52+AV52+AX52</f>
        <v>0</v>
      </c>
      <c r="BA52" s="42" t="n">
        <f aca="false">$D52*AZ52</f>
        <v>0</v>
      </c>
    </row>
    <row r="53" customFormat="false" ht="18" hidden="false" customHeight="true" outlineLevel="0" collapsed="false">
      <c r="A53" s="0" t="s">
        <v>12</v>
      </c>
      <c r="B53" s="71" t="n">
        <v>30</v>
      </c>
      <c r="C53" s="50" t="s">
        <v>64</v>
      </c>
      <c r="D53" s="51" t="n">
        <v>10</v>
      </c>
      <c r="E53" s="83" t="n">
        <f aca="false">B53</f>
        <v>30</v>
      </c>
      <c r="F53" s="53" t="str">
        <f aca="false">C53</f>
        <v>Vodka Smirnoff</v>
      </c>
      <c r="G53" s="54" t="n">
        <f aca="false">D53</f>
        <v>10</v>
      </c>
      <c r="H53" s="39"/>
      <c r="I53" s="38" t="n">
        <f aca="false">$D53*H53</f>
        <v>0</v>
      </c>
      <c r="J53" s="39"/>
      <c r="K53" s="38" t="n">
        <f aca="false">$D53*J53</f>
        <v>0</v>
      </c>
      <c r="L53" s="39"/>
      <c r="M53" s="38" t="n">
        <f aca="false">$D53*L53</f>
        <v>0</v>
      </c>
      <c r="N53" s="40"/>
      <c r="O53" s="38" t="n">
        <f aca="false">$D53*N53</f>
        <v>0</v>
      </c>
      <c r="P53" s="40"/>
      <c r="Q53" s="38" t="n">
        <f aca="false">$D53*P53</f>
        <v>0</v>
      </c>
      <c r="R53" s="40"/>
      <c r="S53" s="38" t="n">
        <f aca="false">$D53*R53</f>
        <v>0</v>
      </c>
      <c r="T53" s="40"/>
      <c r="U53" s="38" t="n">
        <f aca="false">$D53*T53</f>
        <v>0</v>
      </c>
      <c r="V53" s="40"/>
      <c r="W53" s="38" t="n">
        <f aca="false">$D53*V53</f>
        <v>0</v>
      </c>
      <c r="X53" s="40"/>
      <c r="Y53" s="38" t="n">
        <f aca="false">$D53*X53</f>
        <v>0</v>
      </c>
      <c r="Z53" s="41"/>
      <c r="AA53" s="42" t="n">
        <f aca="false">$D53*Z53</f>
        <v>0</v>
      </c>
      <c r="AB53" s="43"/>
      <c r="AC53" s="42" t="n">
        <f aca="false">$D53*AB53</f>
        <v>0</v>
      </c>
      <c r="AD53" s="43"/>
      <c r="AE53" s="42" t="n">
        <f aca="false">$D53*AD53</f>
        <v>0</v>
      </c>
      <c r="AF53" s="43"/>
      <c r="AG53" s="42" t="n">
        <f aca="false">$D53*AF53</f>
        <v>0</v>
      </c>
      <c r="AH53" s="43"/>
      <c r="AI53" s="42" t="n">
        <f aca="false">$D53*AH53</f>
        <v>0</v>
      </c>
      <c r="AJ53" s="43"/>
      <c r="AK53" s="42" t="n">
        <f aca="false">$D53*AJ53</f>
        <v>0</v>
      </c>
      <c r="AL53" s="43"/>
      <c r="AM53" s="42" t="n">
        <f aca="false">$D53*AL53</f>
        <v>0</v>
      </c>
      <c r="AN53" s="43"/>
      <c r="AO53" s="42" t="n">
        <f aca="false">$D53*AN53</f>
        <v>0</v>
      </c>
      <c r="AP53" s="43"/>
      <c r="AQ53" s="42" t="n">
        <f aca="false">$D53*AP53</f>
        <v>0</v>
      </c>
      <c r="AR53" s="43"/>
      <c r="AS53" s="42" t="n">
        <f aca="false">$D53*AR53</f>
        <v>0</v>
      </c>
      <c r="AT53" s="43"/>
      <c r="AU53" s="42" t="n">
        <f aca="false">$D53*AT53</f>
        <v>0</v>
      </c>
      <c r="AV53" s="43"/>
      <c r="AW53" s="42" t="n">
        <f aca="false">$D53*AV53</f>
        <v>0</v>
      </c>
      <c r="AX53" s="43"/>
      <c r="AY53" s="42" t="n">
        <f aca="false">$D53*AX53</f>
        <v>0</v>
      </c>
      <c r="AZ53" s="44" t="n">
        <f aca="false">H53+J53+L53+N53+P53+R53+T53+V53+X53+Z53+AB53+AD53+AF53+AH53+AJ53+AL53+AN53+AP53+AR53+AT53+AV53+AX53</f>
        <v>0</v>
      </c>
      <c r="BA53" s="42" t="n">
        <f aca="false">$D53*AZ53</f>
        <v>0</v>
      </c>
    </row>
    <row r="54" customFormat="false" ht="18" hidden="false" customHeight="true" outlineLevel="0" collapsed="false">
      <c r="A54" s="0" t="s">
        <v>12</v>
      </c>
      <c r="B54" s="71" t="n">
        <v>18</v>
      </c>
      <c r="C54" s="50" t="s">
        <v>65</v>
      </c>
      <c r="D54" s="51" t="n">
        <v>20</v>
      </c>
      <c r="E54" s="83" t="n">
        <f aca="false">B54</f>
        <v>18</v>
      </c>
      <c r="F54" s="53" t="str">
        <f aca="false">C54</f>
        <v>Whisky Chivas 12 anos</v>
      </c>
      <c r="G54" s="54" t="n">
        <f aca="false">D54</f>
        <v>20</v>
      </c>
      <c r="H54" s="39"/>
      <c r="I54" s="38" t="n">
        <f aca="false">$D54*H54</f>
        <v>0</v>
      </c>
      <c r="J54" s="39"/>
      <c r="K54" s="38" t="n">
        <f aca="false">$D54*J54</f>
        <v>0</v>
      </c>
      <c r="L54" s="39"/>
      <c r="M54" s="38" t="n">
        <f aca="false">$D54*L54</f>
        <v>0</v>
      </c>
      <c r="N54" s="40"/>
      <c r="O54" s="38" t="n">
        <f aca="false">$D54*N54</f>
        <v>0</v>
      </c>
      <c r="P54" s="40"/>
      <c r="Q54" s="38" t="n">
        <f aca="false">$D54*P54</f>
        <v>0</v>
      </c>
      <c r="R54" s="40"/>
      <c r="S54" s="38" t="n">
        <f aca="false">$D54*R54</f>
        <v>0</v>
      </c>
      <c r="T54" s="40"/>
      <c r="U54" s="38" t="n">
        <f aca="false">$D54*T54</f>
        <v>0</v>
      </c>
      <c r="V54" s="40"/>
      <c r="W54" s="38" t="n">
        <f aca="false">$D54*V54</f>
        <v>0</v>
      </c>
      <c r="X54" s="40"/>
      <c r="Y54" s="38" t="n">
        <f aca="false">$D54*X54</f>
        <v>0</v>
      </c>
      <c r="Z54" s="41"/>
      <c r="AA54" s="42" t="n">
        <f aca="false">$D54*Z54</f>
        <v>0</v>
      </c>
      <c r="AB54" s="43"/>
      <c r="AC54" s="42" t="n">
        <f aca="false">$D54*AB54</f>
        <v>0</v>
      </c>
      <c r="AD54" s="43"/>
      <c r="AE54" s="42" t="n">
        <f aca="false">$D54*AD54</f>
        <v>0</v>
      </c>
      <c r="AF54" s="43"/>
      <c r="AG54" s="42" t="n">
        <f aca="false">$D54*AF54</f>
        <v>0</v>
      </c>
      <c r="AH54" s="43"/>
      <c r="AI54" s="42" t="n">
        <f aca="false">$D54*AH54</f>
        <v>0</v>
      </c>
      <c r="AJ54" s="43"/>
      <c r="AK54" s="42" t="n">
        <f aca="false">$D54*AJ54</f>
        <v>0</v>
      </c>
      <c r="AL54" s="43"/>
      <c r="AM54" s="42" t="n">
        <f aca="false">$D54*AL54</f>
        <v>0</v>
      </c>
      <c r="AN54" s="43"/>
      <c r="AO54" s="42" t="n">
        <f aca="false">$D54*AN54</f>
        <v>0</v>
      </c>
      <c r="AP54" s="43"/>
      <c r="AQ54" s="42" t="n">
        <f aca="false">$D54*AP54</f>
        <v>0</v>
      </c>
      <c r="AR54" s="43"/>
      <c r="AS54" s="42" t="n">
        <f aca="false">$D54*AR54</f>
        <v>0</v>
      </c>
      <c r="AT54" s="43"/>
      <c r="AU54" s="42" t="n">
        <f aca="false">$D54*AT54</f>
        <v>0</v>
      </c>
      <c r="AV54" s="43"/>
      <c r="AW54" s="42" t="n">
        <f aca="false">$D54*AV54</f>
        <v>0</v>
      </c>
      <c r="AX54" s="43"/>
      <c r="AY54" s="42" t="n">
        <f aca="false">$D54*AX54</f>
        <v>0</v>
      </c>
      <c r="AZ54" s="44" t="n">
        <f aca="false">H54+J54+L54+N54+P54+R54+T54+V54+X54+Z54+AB54+AD54+AF54+AH54+AJ54+AL54+AN54+AP54+AR54+AT54+AV54+AX54</f>
        <v>0</v>
      </c>
      <c r="BA54" s="42" t="n">
        <f aca="false">$D54*AZ54</f>
        <v>0</v>
      </c>
    </row>
    <row r="55" customFormat="false" ht="18" hidden="false" customHeight="true" outlineLevel="0" collapsed="false">
      <c r="A55" s="0" t="s">
        <v>12</v>
      </c>
      <c r="B55" s="71" t="n">
        <v>58</v>
      </c>
      <c r="C55" s="50" t="s">
        <v>66</v>
      </c>
      <c r="D55" s="51" t="n">
        <v>20</v>
      </c>
      <c r="E55" s="83" t="n">
        <f aca="false">B55</f>
        <v>58</v>
      </c>
      <c r="F55" s="53" t="str">
        <f aca="false">C55</f>
        <v>Whisky Old Parr 12 anos</v>
      </c>
      <c r="G55" s="54" t="n">
        <f aca="false">D55</f>
        <v>20</v>
      </c>
      <c r="H55" s="39"/>
      <c r="I55" s="38" t="n">
        <f aca="false">$D55*H55</f>
        <v>0</v>
      </c>
      <c r="J55" s="39"/>
      <c r="K55" s="38" t="n">
        <f aca="false">$D55*J55</f>
        <v>0</v>
      </c>
      <c r="L55" s="39"/>
      <c r="M55" s="38" t="n">
        <f aca="false">$D55*L55</f>
        <v>0</v>
      </c>
      <c r="N55" s="40"/>
      <c r="O55" s="38" t="n">
        <f aca="false">$D55*N55</f>
        <v>0</v>
      </c>
      <c r="P55" s="40"/>
      <c r="Q55" s="38" t="n">
        <f aca="false">$D55*P55</f>
        <v>0</v>
      </c>
      <c r="R55" s="40"/>
      <c r="S55" s="38" t="n">
        <f aca="false">$D55*R55</f>
        <v>0</v>
      </c>
      <c r="T55" s="40"/>
      <c r="U55" s="38" t="n">
        <f aca="false">$D55*T55</f>
        <v>0</v>
      </c>
      <c r="V55" s="40"/>
      <c r="W55" s="38" t="n">
        <f aca="false">$D55*V55</f>
        <v>0</v>
      </c>
      <c r="X55" s="40"/>
      <c r="Y55" s="38" t="n">
        <f aca="false">$D55*X55</f>
        <v>0</v>
      </c>
      <c r="Z55" s="41"/>
      <c r="AA55" s="42" t="n">
        <f aca="false">$D55*Z55</f>
        <v>0</v>
      </c>
      <c r="AB55" s="43"/>
      <c r="AC55" s="42" t="n">
        <f aca="false">$D55*AB55</f>
        <v>0</v>
      </c>
      <c r="AD55" s="43"/>
      <c r="AE55" s="42" t="n">
        <f aca="false">$D55*AD55</f>
        <v>0</v>
      </c>
      <c r="AF55" s="43"/>
      <c r="AG55" s="42" t="n">
        <f aca="false">$D55*AF55</f>
        <v>0</v>
      </c>
      <c r="AH55" s="43"/>
      <c r="AI55" s="42" t="n">
        <f aca="false">$D55*AH55</f>
        <v>0</v>
      </c>
      <c r="AJ55" s="43"/>
      <c r="AK55" s="42" t="n">
        <f aca="false">$D55*AJ55</f>
        <v>0</v>
      </c>
      <c r="AL55" s="43"/>
      <c r="AM55" s="42" t="n">
        <f aca="false">$D55*AL55</f>
        <v>0</v>
      </c>
      <c r="AN55" s="43"/>
      <c r="AO55" s="42" t="n">
        <f aca="false">$D55*AN55</f>
        <v>0</v>
      </c>
      <c r="AP55" s="43"/>
      <c r="AQ55" s="42" t="n">
        <f aca="false">$D55*AP55</f>
        <v>0</v>
      </c>
      <c r="AR55" s="43"/>
      <c r="AS55" s="42" t="n">
        <f aca="false">$D55*AR55</f>
        <v>0</v>
      </c>
      <c r="AT55" s="43"/>
      <c r="AU55" s="42" t="n">
        <f aca="false">$D55*AT55</f>
        <v>0</v>
      </c>
      <c r="AV55" s="43"/>
      <c r="AW55" s="42" t="n">
        <f aca="false">$D55*AV55</f>
        <v>0</v>
      </c>
      <c r="AX55" s="43"/>
      <c r="AY55" s="42" t="n">
        <f aca="false">$D55*AX55</f>
        <v>0</v>
      </c>
      <c r="AZ55" s="44" t="n">
        <f aca="false">H55+J55+L55+N55+P55+R55+T55+V55+X55+Z55+AB55+AD55+AF55+AH55+AJ55+AL55+AN55+AP55+AR55+AT55+AV55+AX55</f>
        <v>0</v>
      </c>
      <c r="BA55" s="42" t="n">
        <f aca="false">$D55*AZ55</f>
        <v>0</v>
      </c>
    </row>
    <row r="56" customFormat="false" ht="18" hidden="false" customHeight="true" outlineLevel="0" collapsed="false">
      <c r="A56" s="0" t="s">
        <v>12</v>
      </c>
      <c r="B56" s="71" t="n">
        <v>17</v>
      </c>
      <c r="C56" s="50" t="s">
        <v>67</v>
      </c>
      <c r="D56" s="51" t="n">
        <v>13</v>
      </c>
      <c r="E56" s="83" t="n">
        <f aca="false">B56</f>
        <v>17</v>
      </c>
      <c r="F56" s="53" t="str">
        <f aca="false">C56</f>
        <v>Whisky Red Label 8 anos</v>
      </c>
      <c r="G56" s="54" t="n">
        <f aca="false">D56</f>
        <v>13</v>
      </c>
      <c r="H56" s="39"/>
      <c r="I56" s="38" t="n">
        <f aca="false">$D56*H56</f>
        <v>0</v>
      </c>
      <c r="J56" s="39"/>
      <c r="K56" s="38" t="n">
        <f aca="false">$D56*J56</f>
        <v>0</v>
      </c>
      <c r="L56" s="39"/>
      <c r="M56" s="38" t="n">
        <f aca="false">$D56*L56</f>
        <v>0</v>
      </c>
      <c r="N56" s="40"/>
      <c r="O56" s="38" t="n">
        <f aca="false">$D56*N56</f>
        <v>0</v>
      </c>
      <c r="P56" s="40"/>
      <c r="Q56" s="38" t="n">
        <f aca="false">$D56*P56</f>
        <v>0</v>
      </c>
      <c r="R56" s="40"/>
      <c r="S56" s="38" t="n">
        <f aca="false">$D56*R56</f>
        <v>0</v>
      </c>
      <c r="T56" s="40"/>
      <c r="U56" s="38" t="n">
        <f aca="false">$D56*T56</f>
        <v>0</v>
      </c>
      <c r="V56" s="40"/>
      <c r="W56" s="38" t="n">
        <f aca="false">$D56*V56</f>
        <v>0</v>
      </c>
      <c r="X56" s="40"/>
      <c r="Y56" s="38" t="n">
        <f aca="false">$D56*X56</f>
        <v>0</v>
      </c>
      <c r="Z56" s="41"/>
      <c r="AA56" s="42" t="n">
        <f aca="false">$D56*Z56</f>
        <v>0</v>
      </c>
      <c r="AB56" s="43"/>
      <c r="AC56" s="42" t="n">
        <f aca="false">$D56*AB56</f>
        <v>0</v>
      </c>
      <c r="AD56" s="43"/>
      <c r="AE56" s="42" t="n">
        <f aca="false">$D56*AD56</f>
        <v>0</v>
      </c>
      <c r="AF56" s="43"/>
      <c r="AG56" s="42" t="n">
        <f aca="false">$D56*AF56</f>
        <v>0</v>
      </c>
      <c r="AH56" s="43"/>
      <c r="AI56" s="42" t="n">
        <f aca="false">$D56*AH56</f>
        <v>0</v>
      </c>
      <c r="AJ56" s="43"/>
      <c r="AK56" s="42" t="n">
        <f aca="false">$D56*AJ56</f>
        <v>0</v>
      </c>
      <c r="AL56" s="43"/>
      <c r="AM56" s="42" t="n">
        <f aca="false">$D56*AL56</f>
        <v>0</v>
      </c>
      <c r="AN56" s="43"/>
      <c r="AO56" s="42" t="n">
        <f aca="false">$D56*AN56</f>
        <v>0</v>
      </c>
      <c r="AP56" s="43"/>
      <c r="AQ56" s="42" t="n">
        <f aca="false">$D56*AP56</f>
        <v>0</v>
      </c>
      <c r="AR56" s="43"/>
      <c r="AS56" s="42" t="n">
        <f aca="false">$D56*AR56</f>
        <v>0</v>
      </c>
      <c r="AT56" s="43"/>
      <c r="AU56" s="42" t="n">
        <f aca="false">$D56*AT56</f>
        <v>0</v>
      </c>
      <c r="AV56" s="43"/>
      <c r="AW56" s="42" t="n">
        <f aca="false">$D56*AV56</f>
        <v>0</v>
      </c>
      <c r="AX56" s="43"/>
      <c r="AY56" s="42" t="n">
        <f aca="false">$D56*AX56</f>
        <v>0</v>
      </c>
      <c r="AZ56" s="44" t="n">
        <f aca="false">H56+J56+L56+N56+P56+R56+T56+V56+X56+Z56+AB56+AD56+AF56+AH56+AJ56+AL56+AN56+AP56+AR56+AT56+AV56+AX56</f>
        <v>0</v>
      </c>
      <c r="BA56" s="42" t="n">
        <f aca="false">$D56*AZ56</f>
        <v>0</v>
      </c>
    </row>
    <row r="57" customFormat="false" ht="18" hidden="false" customHeight="true" outlineLevel="0" collapsed="false">
      <c r="A57" s="0" t="s">
        <v>12</v>
      </c>
      <c r="B57" s="84" t="n">
        <v>60</v>
      </c>
      <c r="C57" s="85" t="s">
        <v>68</v>
      </c>
      <c r="D57" s="61" t="n">
        <v>50</v>
      </c>
      <c r="E57" s="83" t="n">
        <f aca="false">B57</f>
        <v>60</v>
      </c>
      <c r="F57" s="53" t="str">
        <f aca="false">C57</f>
        <v>Rolha - Destilados</v>
      </c>
      <c r="G57" s="54" t="n">
        <f aca="false">D57</f>
        <v>50</v>
      </c>
      <c r="H57" s="39"/>
      <c r="I57" s="38" t="n">
        <f aca="false">$D57*H57</f>
        <v>0</v>
      </c>
      <c r="J57" s="39"/>
      <c r="K57" s="38" t="n">
        <f aca="false">$D57*J57</f>
        <v>0</v>
      </c>
      <c r="L57" s="39"/>
      <c r="M57" s="38" t="n">
        <f aca="false">$D57*L57</f>
        <v>0</v>
      </c>
      <c r="N57" s="40"/>
      <c r="O57" s="38" t="n">
        <f aca="false">$D57*N57</f>
        <v>0</v>
      </c>
      <c r="P57" s="40"/>
      <c r="Q57" s="38" t="n">
        <f aca="false">$D57*P57</f>
        <v>0</v>
      </c>
      <c r="R57" s="40"/>
      <c r="S57" s="38" t="n">
        <f aca="false">$D57*R57</f>
        <v>0</v>
      </c>
      <c r="T57" s="40"/>
      <c r="U57" s="38" t="n">
        <f aca="false">$D57*T57</f>
        <v>0</v>
      </c>
      <c r="V57" s="40"/>
      <c r="W57" s="38" t="n">
        <f aca="false">$D57*V57</f>
        <v>0</v>
      </c>
      <c r="X57" s="40"/>
      <c r="Y57" s="38" t="n">
        <f aca="false">$D57*X57</f>
        <v>0</v>
      </c>
      <c r="Z57" s="41"/>
      <c r="AA57" s="42" t="n">
        <f aca="false">$D57*Z57</f>
        <v>0</v>
      </c>
      <c r="AB57" s="43"/>
      <c r="AC57" s="42" t="n">
        <f aca="false">$D57*AB57</f>
        <v>0</v>
      </c>
      <c r="AD57" s="43"/>
      <c r="AE57" s="42" t="n">
        <f aca="false">$D57*AD57</f>
        <v>0</v>
      </c>
      <c r="AF57" s="43"/>
      <c r="AG57" s="42" t="n">
        <f aca="false">$D57*AF57</f>
        <v>0</v>
      </c>
      <c r="AH57" s="43"/>
      <c r="AI57" s="42" t="n">
        <f aca="false">$D57*AH57</f>
        <v>0</v>
      </c>
      <c r="AJ57" s="43"/>
      <c r="AK57" s="42" t="n">
        <f aca="false">$D57*AJ57</f>
        <v>0</v>
      </c>
      <c r="AL57" s="43"/>
      <c r="AM57" s="42" t="n">
        <f aca="false">$D57*AL57</f>
        <v>0</v>
      </c>
      <c r="AN57" s="43"/>
      <c r="AO57" s="42" t="n">
        <f aca="false">$D57*AN57</f>
        <v>0</v>
      </c>
      <c r="AP57" s="43"/>
      <c r="AQ57" s="42" t="n">
        <f aca="false">$D57*AP57</f>
        <v>0</v>
      </c>
      <c r="AR57" s="43"/>
      <c r="AS57" s="42" t="n">
        <f aca="false">$D57*AR57</f>
        <v>0</v>
      </c>
      <c r="AT57" s="43"/>
      <c r="AU57" s="42" t="n">
        <f aca="false">$D57*AT57</f>
        <v>0</v>
      </c>
      <c r="AV57" s="43"/>
      <c r="AW57" s="42" t="n">
        <f aca="false">$D57*AV57</f>
        <v>0</v>
      </c>
      <c r="AX57" s="43"/>
      <c r="AY57" s="42" t="n">
        <f aca="false">$D57*AX57</f>
        <v>0</v>
      </c>
      <c r="AZ57" s="44" t="n">
        <f aca="false">H57+J57+L57+N57+P57+R57+T57+V57+X57+Z57+AB57+AD57+AF57+AH57+AJ57+AL57+AN57+AP57+AR57+AT57+AV57+AX57</f>
        <v>0</v>
      </c>
      <c r="BA57" s="42" t="n">
        <f aca="false">$D57*AZ57</f>
        <v>0</v>
      </c>
    </row>
    <row r="58" customFormat="false" ht="18" hidden="false" customHeight="true" outlineLevel="0" collapsed="false">
      <c r="A58" s="0" t="s">
        <v>12</v>
      </c>
      <c r="B58" s="62"/>
      <c r="C58" s="63" t="s">
        <v>69</v>
      </c>
      <c r="D58" s="64"/>
      <c r="E58" s="86"/>
      <c r="F58" s="87" t="s">
        <v>69</v>
      </c>
      <c r="G58" s="88"/>
      <c r="H58" s="39"/>
      <c r="I58" s="38" t="n">
        <f aca="false">$D58*H58</f>
        <v>0</v>
      </c>
      <c r="J58" s="39"/>
      <c r="K58" s="38" t="n">
        <f aca="false">$D58*J58</f>
        <v>0</v>
      </c>
      <c r="L58" s="39"/>
      <c r="M58" s="38" t="n">
        <f aca="false">$D58*L58</f>
        <v>0</v>
      </c>
      <c r="N58" s="40"/>
      <c r="O58" s="38" t="n">
        <f aca="false">$D58*N58</f>
        <v>0</v>
      </c>
      <c r="P58" s="40"/>
      <c r="Q58" s="38" t="n">
        <f aca="false">$D58*P58</f>
        <v>0</v>
      </c>
      <c r="R58" s="40"/>
      <c r="S58" s="38" t="n">
        <f aca="false">$D58*R58</f>
        <v>0</v>
      </c>
      <c r="T58" s="40"/>
      <c r="U58" s="38" t="n">
        <f aca="false">$D58*T58</f>
        <v>0</v>
      </c>
      <c r="V58" s="40"/>
      <c r="W58" s="38" t="n">
        <f aca="false">$D58*V58</f>
        <v>0</v>
      </c>
      <c r="X58" s="40"/>
      <c r="Y58" s="38" t="n">
        <f aca="false">$D58*X58</f>
        <v>0</v>
      </c>
      <c r="Z58" s="41"/>
      <c r="AA58" s="42" t="n">
        <f aca="false">$D58*Z58</f>
        <v>0</v>
      </c>
      <c r="AB58" s="43"/>
      <c r="AC58" s="42" t="n">
        <f aca="false">$D58*AB58</f>
        <v>0</v>
      </c>
      <c r="AD58" s="43"/>
      <c r="AE58" s="42" t="n">
        <f aca="false">$D58*AD58</f>
        <v>0</v>
      </c>
      <c r="AF58" s="43"/>
      <c r="AG58" s="42" t="n">
        <f aca="false">$D58*AF58</f>
        <v>0</v>
      </c>
      <c r="AH58" s="43"/>
      <c r="AI58" s="42" t="n">
        <f aca="false">$D58*AH58</f>
        <v>0</v>
      </c>
      <c r="AJ58" s="43"/>
      <c r="AK58" s="42" t="n">
        <f aca="false">$D58*AJ58</f>
        <v>0</v>
      </c>
      <c r="AL58" s="43"/>
      <c r="AM58" s="42" t="n">
        <f aca="false">$D58*AL58</f>
        <v>0</v>
      </c>
      <c r="AN58" s="43"/>
      <c r="AO58" s="42" t="n">
        <f aca="false">$D58*AN58</f>
        <v>0</v>
      </c>
      <c r="AP58" s="43"/>
      <c r="AQ58" s="42" t="n">
        <f aca="false">$D58*AP58</f>
        <v>0</v>
      </c>
      <c r="AR58" s="43"/>
      <c r="AS58" s="42" t="n">
        <f aca="false">$D58*AR58</f>
        <v>0</v>
      </c>
      <c r="AT58" s="43"/>
      <c r="AU58" s="42" t="n">
        <f aca="false">$D58*AT58</f>
        <v>0</v>
      </c>
      <c r="AV58" s="43"/>
      <c r="AW58" s="42" t="n">
        <f aca="false">$D58*AV58</f>
        <v>0</v>
      </c>
      <c r="AX58" s="43"/>
      <c r="AY58" s="42" t="n">
        <f aca="false">$D58*AX58</f>
        <v>0</v>
      </c>
      <c r="AZ58" s="44" t="n">
        <f aca="false">H58+J58+L58+N58+P58+R58+T58+V58+X58+Z58+AB58+AD58+AF58+AH58+AJ58+AL58+AN58+AP58+AR58+AT58+AV58+AX58</f>
        <v>0</v>
      </c>
      <c r="BA58" s="42" t="n">
        <f aca="false">$D58*AZ58</f>
        <v>0</v>
      </c>
    </row>
    <row r="59" customFormat="false" ht="18" hidden="false" customHeight="true" outlineLevel="0" collapsed="false">
      <c r="A59" s="0" t="s">
        <v>12</v>
      </c>
      <c r="B59" s="68" t="n">
        <v>21</v>
      </c>
      <c r="C59" s="69" t="s">
        <v>70</v>
      </c>
      <c r="D59" s="58" t="n">
        <v>90</v>
      </c>
      <c r="E59" s="75" t="n">
        <f aca="false">B59</f>
        <v>21</v>
      </c>
      <c r="F59" s="53" t="s">
        <v>70</v>
      </c>
      <c r="G59" s="54" t="n">
        <v>90</v>
      </c>
      <c r="H59" s="39"/>
      <c r="I59" s="38" t="n">
        <f aca="false">$D59*H59</f>
        <v>0</v>
      </c>
      <c r="J59" s="39"/>
      <c r="K59" s="38" t="n">
        <f aca="false">$D59*J59</f>
        <v>0</v>
      </c>
      <c r="L59" s="39"/>
      <c r="M59" s="38" t="n">
        <f aca="false">$D59*L59</f>
        <v>0</v>
      </c>
      <c r="N59" s="40"/>
      <c r="O59" s="38" t="n">
        <f aca="false">$D59*N59</f>
        <v>0</v>
      </c>
      <c r="P59" s="40"/>
      <c r="Q59" s="38" t="n">
        <f aca="false">$D59*P59</f>
        <v>0</v>
      </c>
      <c r="R59" s="40"/>
      <c r="S59" s="38" t="n">
        <f aca="false">$D59*R59</f>
        <v>0</v>
      </c>
      <c r="T59" s="40"/>
      <c r="U59" s="38" t="n">
        <f aca="false">$D59*T59</f>
        <v>0</v>
      </c>
      <c r="V59" s="40"/>
      <c r="W59" s="38" t="n">
        <f aca="false">$D59*V59</f>
        <v>0</v>
      </c>
      <c r="X59" s="40"/>
      <c r="Y59" s="38" t="n">
        <f aca="false">$D59*X59</f>
        <v>0</v>
      </c>
      <c r="Z59" s="41"/>
      <c r="AA59" s="42" t="n">
        <f aca="false">$D59*Z59</f>
        <v>0</v>
      </c>
      <c r="AB59" s="43"/>
      <c r="AC59" s="42" t="n">
        <f aca="false">$D59*AB59</f>
        <v>0</v>
      </c>
      <c r="AD59" s="43"/>
      <c r="AE59" s="42" t="n">
        <f aca="false">$D59*AD59</f>
        <v>0</v>
      </c>
      <c r="AF59" s="43"/>
      <c r="AG59" s="42" t="n">
        <f aca="false">$D59*AF59</f>
        <v>0</v>
      </c>
      <c r="AH59" s="43"/>
      <c r="AI59" s="42" t="n">
        <f aca="false">$D59*AH59</f>
        <v>0</v>
      </c>
      <c r="AJ59" s="43"/>
      <c r="AK59" s="42" t="n">
        <f aca="false">$D59*AJ59</f>
        <v>0</v>
      </c>
      <c r="AL59" s="43"/>
      <c r="AM59" s="42" t="n">
        <f aca="false">$D59*AL59</f>
        <v>0</v>
      </c>
      <c r="AN59" s="43"/>
      <c r="AO59" s="42" t="n">
        <f aca="false">$D59*AN59</f>
        <v>0</v>
      </c>
      <c r="AP59" s="43"/>
      <c r="AQ59" s="42" t="n">
        <f aca="false">$D59*AP59</f>
        <v>0</v>
      </c>
      <c r="AR59" s="43"/>
      <c r="AS59" s="42" t="n">
        <f aca="false">$D59*AR59</f>
        <v>0</v>
      </c>
      <c r="AT59" s="43"/>
      <c r="AU59" s="42" t="n">
        <f aca="false">$D59*AT59</f>
        <v>0</v>
      </c>
      <c r="AV59" s="43"/>
      <c r="AW59" s="42" t="n">
        <f aca="false">$D59*AV59</f>
        <v>0</v>
      </c>
      <c r="AX59" s="43"/>
      <c r="AY59" s="42" t="n">
        <f aca="false">$D59*AX59</f>
        <v>0</v>
      </c>
      <c r="AZ59" s="44" t="n">
        <f aca="false">H59+J59+L59+N59+P59+R59+T59+V59+X59+Z59+AB59+AD59+AF59+AH59+AJ59+AL59+AN59+AP59+AR59+AT59+AV59+AX59</f>
        <v>0</v>
      </c>
      <c r="BA59" s="42" t="n">
        <f aca="false">$D59*AZ59</f>
        <v>0</v>
      </c>
    </row>
    <row r="60" customFormat="false" ht="18" hidden="false" customHeight="true" outlineLevel="0" collapsed="false">
      <c r="A60" s="0" t="s">
        <v>12</v>
      </c>
      <c r="B60" s="71" t="n">
        <v>59</v>
      </c>
      <c r="C60" s="50" t="s">
        <v>71</v>
      </c>
      <c r="D60" s="51" t="n">
        <v>90</v>
      </c>
      <c r="E60" s="75" t="n">
        <f aca="false">B60</f>
        <v>59</v>
      </c>
      <c r="F60" s="53" t="s">
        <v>71</v>
      </c>
      <c r="G60" s="54" t="n">
        <v>90</v>
      </c>
      <c r="H60" s="39"/>
      <c r="I60" s="38" t="n">
        <f aca="false">$D60*H60</f>
        <v>0</v>
      </c>
      <c r="J60" s="39"/>
      <c r="K60" s="38" t="n">
        <f aca="false">$D60*J60</f>
        <v>0</v>
      </c>
      <c r="L60" s="39"/>
      <c r="M60" s="38" t="n">
        <f aca="false">$D60*L60</f>
        <v>0</v>
      </c>
      <c r="N60" s="40"/>
      <c r="O60" s="38" t="n">
        <f aca="false">$D60*N60</f>
        <v>0</v>
      </c>
      <c r="P60" s="40"/>
      <c r="Q60" s="38" t="n">
        <f aca="false">$D60*P60</f>
        <v>0</v>
      </c>
      <c r="R60" s="40"/>
      <c r="S60" s="38" t="n">
        <f aca="false">$D60*R60</f>
        <v>0</v>
      </c>
      <c r="T60" s="40"/>
      <c r="U60" s="38" t="n">
        <f aca="false">$D60*T60</f>
        <v>0</v>
      </c>
      <c r="V60" s="40"/>
      <c r="W60" s="38" t="n">
        <f aca="false">$D60*V60</f>
        <v>0</v>
      </c>
      <c r="X60" s="40"/>
      <c r="Y60" s="38" t="n">
        <f aca="false">$D60*X60</f>
        <v>0</v>
      </c>
      <c r="Z60" s="41"/>
      <c r="AA60" s="42" t="n">
        <f aca="false">$D60*Z60</f>
        <v>0</v>
      </c>
      <c r="AB60" s="43"/>
      <c r="AC60" s="42" t="n">
        <f aca="false">$D60*AB60</f>
        <v>0</v>
      </c>
      <c r="AD60" s="43"/>
      <c r="AE60" s="42" t="n">
        <f aca="false">$D60*AD60</f>
        <v>0</v>
      </c>
      <c r="AF60" s="43"/>
      <c r="AG60" s="42" t="n">
        <f aca="false">$D60*AF60</f>
        <v>0</v>
      </c>
      <c r="AH60" s="43"/>
      <c r="AI60" s="42" t="n">
        <f aca="false">$D60*AH60</f>
        <v>0</v>
      </c>
      <c r="AJ60" s="43"/>
      <c r="AK60" s="42" t="n">
        <f aca="false">$D60*AJ60</f>
        <v>0</v>
      </c>
      <c r="AL60" s="43"/>
      <c r="AM60" s="42" t="n">
        <f aca="false">$D60*AL60</f>
        <v>0</v>
      </c>
      <c r="AN60" s="43"/>
      <c r="AO60" s="42" t="n">
        <f aca="false">$D60*AN60</f>
        <v>0</v>
      </c>
      <c r="AP60" s="43"/>
      <c r="AQ60" s="42" t="n">
        <f aca="false">$D60*AP60</f>
        <v>0</v>
      </c>
      <c r="AR60" s="43"/>
      <c r="AS60" s="42" t="n">
        <f aca="false">$D60*AR60</f>
        <v>0</v>
      </c>
      <c r="AT60" s="43"/>
      <c r="AU60" s="42" t="n">
        <f aca="false">$D60*AT60</f>
        <v>0</v>
      </c>
      <c r="AV60" s="43"/>
      <c r="AW60" s="42" t="n">
        <f aca="false">$D60*AV60</f>
        <v>0</v>
      </c>
      <c r="AX60" s="43"/>
      <c r="AY60" s="42" t="n">
        <f aca="false">$D60*AX60</f>
        <v>0</v>
      </c>
      <c r="AZ60" s="44" t="n">
        <f aca="false">H60+J60+L60+N60+P60+R60+T60+V60+X60+Z60+AB60+AD60+AF60+AH60+AJ60+AL60+AN60+AP60+AR60+AT60+AV60+AX60</f>
        <v>0</v>
      </c>
      <c r="BA60" s="42" t="n">
        <f aca="false">$D60*AZ60</f>
        <v>0</v>
      </c>
    </row>
    <row r="61" customFormat="false" ht="18" hidden="false" customHeight="true" outlineLevel="0" collapsed="false">
      <c r="A61" s="0" t="s">
        <v>12</v>
      </c>
      <c r="B61" s="71" t="n">
        <v>61</v>
      </c>
      <c r="C61" s="50" t="s">
        <v>72</v>
      </c>
      <c r="D61" s="51" t="n">
        <v>90</v>
      </c>
      <c r="E61" s="75" t="n">
        <f aca="false">B61</f>
        <v>61</v>
      </c>
      <c r="F61" s="53" t="s">
        <v>72</v>
      </c>
      <c r="G61" s="54" t="n">
        <v>90</v>
      </c>
      <c r="H61" s="39"/>
      <c r="I61" s="38" t="n">
        <f aca="false">$D61*H61</f>
        <v>0</v>
      </c>
      <c r="J61" s="39"/>
      <c r="K61" s="38" t="n">
        <f aca="false">$D61*J61</f>
        <v>0</v>
      </c>
      <c r="L61" s="39"/>
      <c r="M61" s="38" t="n">
        <f aca="false">$D61*L61</f>
        <v>0</v>
      </c>
      <c r="N61" s="40"/>
      <c r="O61" s="38" t="n">
        <f aca="false">$D61*N61</f>
        <v>0</v>
      </c>
      <c r="P61" s="40"/>
      <c r="Q61" s="38" t="n">
        <f aca="false">$D61*P61</f>
        <v>0</v>
      </c>
      <c r="R61" s="40"/>
      <c r="S61" s="38" t="n">
        <f aca="false">$D61*R61</f>
        <v>0</v>
      </c>
      <c r="T61" s="40"/>
      <c r="U61" s="38" t="n">
        <f aca="false">$D61*T61</f>
        <v>0</v>
      </c>
      <c r="V61" s="40"/>
      <c r="W61" s="38" t="n">
        <f aca="false">$D61*V61</f>
        <v>0</v>
      </c>
      <c r="X61" s="40"/>
      <c r="Y61" s="38" t="n">
        <f aca="false">$D61*X61</f>
        <v>0</v>
      </c>
      <c r="Z61" s="41"/>
      <c r="AA61" s="42" t="n">
        <f aca="false">$D61*Z61</f>
        <v>0</v>
      </c>
      <c r="AB61" s="43"/>
      <c r="AC61" s="42" t="n">
        <f aca="false">$D61*AB61</f>
        <v>0</v>
      </c>
      <c r="AD61" s="43"/>
      <c r="AE61" s="42" t="n">
        <f aca="false">$D61*AD61</f>
        <v>0</v>
      </c>
      <c r="AF61" s="43"/>
      <c r="AG61" s="42" t="n">
        <f aca="false">$D61*AF61</f>
        <v>0</v>
      </c>
      <c r="AH61" s="43"/>
      <c r="AI61" s="42" t="n">
        <f aca="false">$D61*AH61</f>
        <v>0</v>
      </c>
      <c r="AJ61" s="43"/>
      <c r="AK61" s="42" t="n">
        <f aca="false">$D61*AJ61</f>
        <v>0</v>
      </c>
      <c r="AL61" s="43"/>
      <c r="AM61" s="42" t="n">
        <f aca="false">$D61*AL61</f>
        <v>0</v>
      </c>
      <c r="AN61" s="43"/>
      <c r="AO61" s="42" t="n">
        <f aca="false">$D61*AN61</f>
        <v>0</v>
      </c>
      <c r="AP61" s="43"/>
      <c r="AQ61" s="42" t="n">
        <f aca="false">$D61*AP61</f>
        <v>0</v>
      </c>
      <c r="AR61" s="43"/>
      <c r="AS61" s="42" t="n">
        <f aca="false">$D61*AR61</f>
        <v>0</v>
      </c>
      <c r="AT61" s="43"/>
      <c r="AU61" s="42" t="n">
        <f aca="false">$D61*AT61</f>
        <v>0</v>
      </c>
      <c r="AV61" s="43"/>
      <c r="AW61" s="42" t="n">
        <f aca="false">$D61*AV61</f>
        <v>0</v>
      </c>
      <c r="AX61" s="43"/>
      <c r="AY61" s="42" t="n">
        <f aca="false">$D61*AX61</f>
        <v>0</v>
      </c>
      <c r="AZ61" s="44" t="n">
        <f aca="false">H61+J61+L61+N61+P61+R61+T61+V61+X61+Z61+AB61+AD61+AF61+AH61+AJ61+AL61+AN61+AP61+AR61+AT61+AV61+AX61</f>
        <v>0</v>
      </c>
      <c r="BA61" s="42" t="n">
        <f aca="false">$D61*AZ61</f>
        <v>0</v>
      </c>
    </row>
    <row r="62" customFormat="false" ht="18" hidden="false" customHeight="true" outlineLevel="0" collapsed="false">
      <c r="A62" s="0" t="s">
        <v>12</v>
      </c>
      <c r="B62" s="71" t="n">
        <v>20</v>
      </c>
      <c r="C62" s="50" t="s">
        <v>73</v>
      </c>
      <c r="D62" s="51" t="n">
        <v>90</v>
      </c>
      <c r="E62" s="75" t="n">
        <f aca="false">B62</f>
        <v>20</v>
      </c>
      <c r="F62" s="53" t="str">
        <f aca="false">C62</f>
        <v>Vinho Tinto (Diversos)</v>
      </c>
      <c r="G62" s="54" t="n">
        <f aca="false">D62</f>
        <v>90</v>
      </c>
      <c r="H62" s="39"/>
      <c r="I62" s="38" t="n">
        <f aca="false">$D62*H62</f>
        <v>0</v>
      </c>
      <c r="J62" s="39"/>
      <c r="K62" s="38" t="n">
        <f aca="false">$D62*J62</f>
        <v>0</v>
      </c>
      <c r="L62" s="39"/>
      <c r="M62" s="38" t="n">
        <f aca="false">$D62*L62</f>
        <v>0</v>
      </c>
      <c r="N62" s="40"/>
      <c r="O62" s="38" t="n">
        <f aca="false">$D62*N62</f>
        <v>0</v>
      </c>
      <c r="P62" s="40"/>
      <c r="Q62" s="38" t="n">
        <f aca="false">$D62*P62</f>
        <v>0</v>
      </c>
      <c r="R62" s="40"/>
      <c r="S62" s="38" t="n">
        <f aca="false">$D62*R62</f>
        <v>0</v>
      </c>
      <c r="T62" s="40"/>
      <c r="U62" s="38" t="n">
        <f aca="false">$D62*T62</f>
        <v>0</v>
      </c>
      <c r="V62" s="40"/>
      <c r="W62" s="38" t="n">
        <f aca="false">$D62*V62</f>
        <v>0</v>
      </c>
      <c r="X62" s="40"/>
      <c r="Y62" s="38" t="n">
        <f aca="false">$D62*X62</f>
        <v>0</v>
      </c>
      <c r="Z62" s="41"/>
      <c r="AA62" s="42" t="n">
        <f aca="false">$D62*Z62</f>
        <v>0</v>
      </c>
      <c r="AB62" s="43"/>
      <c r="AC62" s="42" t="n">
        <f aca="false">$D62*AB62</f>
        <v>0</v>
      </c>
      <c r="AD62" s="43"/>
      <c r="AE62" s="42" t="n">
        <f aca="false">$D62*AD62</f>
        <v>0</v>
      </c>
      <c r="AF62" s="43"/>
      <c r="AG62" s="42" t="n">
        <f aca="false">$D62*AF62</f>
        <v>0</v>
      </c>
      <c r="AH62" s="43"/>
      <c r="AI62" s="42" t="n">
        <f aca="false">$D62*AH62</f>
        <v>0</v>
      </c>
      <c r="AJ62" s="43"/>
      <c r="AK62" s="42" t="n">
        <f aca="false">$D62*AJ62</f>
        <v>0</v>
      </c>
      <c r="AL62" s="43"/>
      <c r="AM62" s="42" t="n">
        <f aca="false">$D62*AL62</f>
        <v>0</v>
      </c>
      <c r="AN62" s="43"/>
      <c r="AO62" s="42" t="n">
        <f aca="false">$D62*AN62</f>
        <v>0</v>
      </c>
      <c r="AP62" s="43"/>
      <c r="AQ62" s="42" t="n">
        <f aca="false">$D62*AP62</f>
        <v>0</v>
      </c>
      <c r="AR62" s="43"/>
      <c r="AS62" s="42" t="n">
        <f aca="false">$D62*AR62</f>
        <v>0</v>
      </c>
      <c r="AT62" s="43"/>
      <c r="AU62" s="42" t="n">
        <f aca="false">$D62*AT62</f>
        <v>0</v>
      </c>
      <c r="AV62" s="43"/>
      <c r="AW62" s="42" t="n">
        <f aca="false">$D62*AV62</f>
        <v>0</v>
      </c>
      <c r="AX62" s="43"/>
      <c r="AY62" s="42" t="n">
        <f aca="false">$D62*AX62</f>
        <v>0</v>
      </c>
      <c r="AZ62" s="44" t="n">
        <f aca="false">H62+J62+L62+N62+P62+R62+T62+V62+X62+Z62+AB62+AD62+AF62+AH62+AJ62+AL62+AN62+AP62+AR62+AT62+AV62+AX62</f>
        <v>0</v>
      </c>
      <c r="BA62" s="42" t="n">
        <f aca="false">$D62*AZ62</f>
        <v>0</v>
      </c>
    </row>
    <row r="63" customFormat="false" ht="18" hidden="false" customHeight="true" outlineLevel="0" collapsed="false">
      <c r="A63" s="0" t="s">
        <v>12</v>
      </c>
      <c r="B63" s="84" t="n">
        <v>35</v>
      </c>
      <c r="C63" s="85" t="s">
        <v>74</v>
      </c>
      <c r="D63" s="61" t="n">
        <v>30</v>
      </c>
      <c r="E63" s="75" t="n">
        <f aca="false">B63</f>
        <v>35</v>
      </c>
      <c r="F63" s="53" t="str">
        <f aca="false">C63</f>
        <v>Rolha - Espumante &amp; Vinhos</v>
      </c>
      <c r="G63" s="54" t="n">
        <f aca="false">D63</f>
        <v>30</v>
      </c>
      <c r="H63" s="39"/>
      <c r="I63" s="38" t="n">
        <f aca="false">$D63*H63</f>
        <v>0</v>
      </c>
      <c r="J63" s="39"/>
      <c r="K63" s="38" t="n">
        <f aca="false">$D63*J63</f>
        <v>0</v>
      </c>
      <c r="L63" s="39"/>
      <c r="M63" s="38" t="n">
        <f aca="false">$D63*L63</f>
        <v>0</v>
      </c>
      <c r="N63" s="40"/>
      <c r="O63" s="38" t="n">
        <f aca="false">$D63*N63</f>
        <v>0</v>
      </c>
      <c r="P63" s="40"/>
      <c r="Q63" s="38" t="n">
        <f aca="false">$D63*P63</f>
        <v>0</v>
      </c>
      <c r="R63" s="40"/>
      <c r="S63" s="38" t="n">
        <f aca="false">$D63*R63</f>
        <v>0</v>
      </c>
      <c r="T63" s="40"/>
      <c r="U63" s="38" t="n">
        <f aca="false">$D63*T63</f>
        <v>0</v>
      </c>
      <c r="V63" s="40"/>
      <c r="W63" s="38" t="n">
        <f aca="false">$D63*V63</f>
        <v>0</v>
      </c>
      <c r="X63" s="40"/>
      <c r="Y63" s="38" t="n">
        <f aca="false">$D63*X63</f>
        <v>0</v>
      </c>
      <c r="Z63" s="41"/>
      <c r="AA63" s="42" t="n">
        <f aca="false">$D63*Z63</f>
        <v>0</v>
      </c>
      <c r="AB63" s="43"/>
      <c r="AC63" s="42" t="n">
        <f aca="false">$D63*AB63</f>
        <v>0</v>
      </c>
      <c r="AD63" s="43"/>
      <c r="AE63" s="42" t="n">
        <f aca="false">$D63*AD63</f>
        <v>0</v>
      </c>
      <c r="AF63" s="43"/>
      <c r="AG63" s="42" t="n">
        <f aca="false">$D63*AF63</f>
        <v>0</v>
      </c>
      <c r="AH63" s="43"/>
      <c r="AI63" s="42" t="n">
        <f aca="false">$D63*AH63</f>
        <v>0</v>
      </c>
      <c r="AJ63" s="43"/>
      <c r="AK63" s="42" t="n">
        <f aca="false">$D63*AJ63</f>
        <v>0</v>
      </c>
      <c r="AL63" s="43"/>
      <c r="AM63" s="42" t="n">
        <f aca="false">$D63*AL63</f>
        <v>0</v>
      </c>
      <c r="AN63" s="43"/>
      <c r="AO63" s="42" t="n">
        <f aca="false">$D63*AN63</f>
        <v>0</v>
      </c>
      <c r="AP63" s="43"/>
      <c r="AQ63" s="42" t="n">
        <f aca="false">$D63*AP63</f>
        <v>0</v>
      </c>
      <c r="AR63" s="43"/>
      <c r="AS63" s="42" t="n">
        <f aca="false">$D63*AR63</f>
        <v>0</v>
      </c>
      <c r="AT63" s="43"/>
      <c r="AU63" s="42" t="n">
        <f aca="false">$D63*AT63</f>
        <v>0</v>
      </c>
      <c r="AV63" s="43"/>
      <c r="AW63" s="42" t="n">
        <f aca="false">$D63*AV63</f>
        <v>0</v>
      </c>
      <c r="AX63" s="43"/>
      <c r="AY63" s="42" t="n">
        <f aca="false">$D63*AX63</f>
        <v>0</v>
      </c>
      <c r="AZ63" s="44" t="n">
        <f aca="false">H63+J63+L63+N63+P63+R63+T63+V63+X63+Z63+AB63+AD63+AF63+AH63+AJ63+AL63+AN63+AP63+AR63+AT63+AV63+AX63</f>
        <v>0</v>
      </c>
      <c r="BA63" s="42" t="n">
        <f aca="false">$D63*AZ63</f>
        <v>0</v>
      </c>
    </row>
    <row r="64" customFormat="false" ht="19.7" hidden="true" customHeight="false" outlineLevel="0" collapsed="false">
      <c r="A64" s="0" t="s">
        <v>15</v>
      </c>
      <c r="B64" s="89" t="s">
        <v>75</v>
      </c>
      <c r="C64" s="89"/>
      <c r="D64" s="89"/>
      <c r="E64" s="90" t="s">
        <v>75</v>
      </c>
      <c r="F64" s="90"/>
      <c r="G64" s="90"/>
      <c r="H64" s="91" t="e">
        <f aca="false">10%*#REF!</f>
        <v>#REF!</v>
      </c>
      <c r="I64" s="38"/>
      <c r="J64" s="91" t="e">
        <f aca="false">10%*#REF!</f>
        <v>#REF!</v>
      </c>
      <c r="K64" s="38"/>
      <c r="L64" s="91" t="e">
        <f aca="false">10%*#REF!</f>
        <v>#REF!</v>
      </c>
      <c r="M64" s="38"/>
      <c r="N64" s="28"/>
      <c r="O64" s="38"/>
      <c r="P64" s="28"/>
      <c r="Q64" s="38"/>
      <c r="R64" s="28"/>
      <c r="S64" s="38"/>
      <c r="T64" s="28"/>
      <c r="U64" s="38"/>
      <c r="V64" s="28"/>
      <c r="W64" s="38"/>
      <c r="X64" s="28"/>
      <c r="Y64" s="38"/>
      <c r="Z64" s="29"/>
      <c r="AA64" s="42"/>
      <c r="AB64" s="30"/>
      <c r="AC64" s="42"/>
      <c r="AD64" s="30"/>
      <c r="AE64" s="42"/>
      <c r="AF64" s="30"/>
      <c r="AG64" s="42"/>
      <c r="AH64" s="30"/>
      <c r="AI64" s="42"/>
      <c r="AJ64" s="30"/>
      <c r="AK64" s="42"/>
      <c r="AL64" s="30"/>
      <c r="AM64" s="42"/>
      <c r="AN64" s="30"/>
      <c r="AO64" s="42"/>
      <c r="AP64" s="30"/>
      <c r="AQ64" s="42"/>
      <c r="AR64" s="30"/>
      <c r="AS64" s="42"/>
      <c r="AT64" s="30"/>
      <c r="AU64" s="42"/>
      <c r="AV64" s="30"/>
      <c r="AW64" s="42"/>
      <c r="AX64" s="30"/>
      <c r="AY64" s="42"/>
      <c r="AZ64" s="30"/>
      <c r="BA64" s="42" t="n">
        <f aca="false">$D64*AZ64</f>
        <v>0</v>
      </c>
    </row>
    <row r="65" s="92" customFormat="true" ht="18.75" hidden="false" customHeight="true" outlineLevel="0" collapsed="false">
      <c r="A65" s="92" t="s">
        <v>12</v>
      </c>
      <c r="B65" s="93" t="s">
        <v>76</v>
      </c>
      <c r="C65" s="93"/>
      <c r="D65" s="93"/>
      <c r="E65" s="94" t="s">
        <v>76</v>
      </c>
      <c r="F65" s="94"/>
      <c r="G65" s="94"/>
      <c r="H65" s="95" t="n">
        <f aca="false">SUM(H4:H62)</f>
        <v>0</v>
      </c>
      <c r="I65" s="96" t="n">
        <f aca="false">SUM(I4:I62)</f>
        <v>0</v>
      </c>
      <c r="J65" s="95" t="n">
        <f aca="false">SUM(J4:J62)</f>
        <v>0</v>
      </c>
      <c r="K65" s="96" t="n">
        <f aca="false">SUM(K4:K62)</f>
        <v>0</v>
      </c>
      <c r="L65" s="95" t="n">
        <f aca="false">SUM(L4:L62)</f>
        <v>0</v>
      </c>
      <c r="M65" s="96" t="n">
        <f aca="false">SUM(M4:M62)</f>
        <v>0</v>
      </c>
      <c r="N65" s="95" t="n">
        <f aca="false">SUM(N4:N62)</f>
        <v>0</v>
      </c>
      <c r="O65" s="96" t="n">
        <f aca="false">SUM(O4:O62)</f>
        <v>0</v>
      </c>
      <c r="P65" s="95" t="n">
        <f aca="false">SUM(P4:P62)</f>
        <v>0</v>
      </c>
      <c r="Q65" s="96" t="n">
        <f aca="false">SUM(Q4:Q62)</f>
        <v>0</v>
      </c>
      <c r="R65" s="95" t="n">
        <f aca="false">SUM(R4:R62)</f>
        <v>0</v>
      </c>
      <c r="S65" s="96" t="n">
        <f aca="false">SUM(S4:S62)</f>
        <v>0</v>
      </c>
      <c r="T65" s="95" t="n">
        <f aca="false">SUM(T4:T62)</f>
        <v>0</v>
      </c>
      <c r="U65" s="96" t="n">
        <f aca="false">SUM(U4:U62)</f>
        <v>0</v>
      </c>
      <c r="V65" s="95" t="n">
        <f aca="false">SUM(V4:V62)</f>
        <v>0</v>
      </c>
      <c r="W65" s="96" t="n">
        <f aca="false">SUM(W4:W62)</f>
        <v>0</v>
      </c>
      <c r="X65" s="95" t="n">
        <f aca="false">SUM(X4:X62)</f>
        <v>0</v>
      </c>
      <c r="Y65" s="96" t="n">
        <f aca="false">SUM(Y4:Y62)</f>
        <v>0</v>
      </c>
      <c r="Z65" s="97" t="n">
        <f aca="false">SUM(Z4:Z62)</f>
        <v>0</v>
      </c>
      <c r="AA65" s="98" t="n">
        <f aca="false">SUM(AA4:AA62)</f>
        <v>0</v>
      </c>
      <c r="AB65" s="99" t="n">
        <f aca="false">SUM(AB4:AB62)</f>
        <v>0</v>
      </c>
      <c r="AC65" s="98" t="n">
        <f aca="false">SUM(AC4:AC62)</f>
        <v>0</v>
      </c>
      <c r="AD65" s="99" t="n">
        <f aca="false">SUM(AD4:AD62)</f>
        <v>0</v>
      </c>
      <c r="AE65" s="98" t="n">
        <f aca="false">SUM(AE4:AE62)</f>
        <v>0</v>
      </c>
      <c r="AF65" s="99" t="n">
        <f aca="false">SUM(AF4:AF62)</f>
        <v>0</v>
      </c>
      <c r="AG65" s="98" t="n">
        <f aca="false">SUM(AG4:AG62)</f>
        <v>0</v>
      </c>
      <c r="AH65" s="99" t="n">
        <f aca="false">SUM(AH4:AH62)</f>
        <v>0</v>
      </c>
      <c r="AI65" s="98" t="n">
        <f aca="false">SUM(AI4:AI62)</f>
        <v>0</v>
      </c>
      <c r="AJ65" s="99" t="n">
        <f aca="false">SUM(AJ4:AJ62)</f>
        <v>0</v>
      </c>
      <c r="AK65" s="98" t="n">
        <f aca="false">SUM(AK4:AK62)</f>
        <v>0</v>
      </c>
      <c r="AL65" s="99" t="n">
        <f aca="false">SUM(AL4:AL62)</f>
        <v>0</v>
      </c>
      <c r="AM65" s="98" t="n">
        <f aca="false">SUM(AM4:AM62)</f>
        <v>0</v>
      </c>
      <c r="AN65" s="99" t="n">
        <f aca="false">SUM(AN4:AN62)</f>
        <v>0</v>
      </c>
      <c r="AO65" s="98" t="n">
        <f aca="false">SUM(AO4:AO62)</f>
        <v>0</v>
      </c>
      <c r="AP65" s="99" t="n">
        <f aca="false">SUM(AP4:AP62)</f>
        <v>0</v>
      </c>
      <c r="AQ65" s="98" t="n">
        <f aca="false">SUM(AQ4:AQ62)</f>
        <v>0</v>
      </c>
      <c r="AR65" s="99" t="n">
        <f aca="false">SUM(AR4:AR62)</f>
        <v>0</v>
      </c>
      <c r="AS65" s="98" t="n">
        <f aca="false">SUM(AS4:AS62)</f>
        <v>0</v>
      </c>
      <c r="AT65" s="99" t="n">
        <f aca="false">SUM(AT4:AT62)</f>
        <v>0</v>
      </c>
      <c r="AU65" s="98" t="n">
        <f aca="false">SUM(AU4:AU62)</f>
        <v>0</v>
      </c>
      <c r="AV65" s="99" t="n">
        <f aca="false">SUM(AV4:AV62)</f>
        <v>0</v>
      </c>
      <c r="AW65" s="98" t="n">
        <f aca="false">SUM(AW4:AW62)</f>
        <v>0</v>
      </c>
      <c r="AX65" s="99" t="n">
        <f aca="false">SUM(AX4:AX62)</f>
        <v>0</v>
      </c>
      <c r="AY65" s="98" t="n">
        <f aca="false">SUM(AY4:AY62)</f>
        <v>0</v>
      </c>
      <c r="AZ65" s="99" t="n">
        <f aca="false">H65+J65+L65+N65+P65+R65+T65+V65+X65+Z65+AB65+AD65+AF65+AH65+AJ65+AL65+AN65+AP65+AR65+AT65+AV65+AX65</f>
        <v>0</v>
      </c>
      <c r="BA65" s="98" t="n">
        <f aca="false">SUM(BA4:BA62)</f>
        <v>0</v>
      </c>
    </row>
    <row r="66" s="92" customFormat="true" ht="15" hidden="false" customHeight="true" outlineLevel="0" collapsed="false">
      <c r="A66" s="92" t="s">
        <v>12</v>
      </c>
      <c r="B66" s="100" t="s">
        <v>77</v>
      </c>
      <c r="C66" s="100"/>
      <c r="D66" s="100"/>
      <c r="E66" s="100" t="s">
        <v>77</v>
      </c>
      <c r="F66" s="100"/>
      <c r="G66" s="100"/>
      <c r="H66" s="101"/>
      <c r="I66" s="102" t="n">
        <f aca="false">I65*10%</f>
        <v>0</v>
      </c>
      <c r="J66" s="103"/>
      <c r="K66" s="102" t="n">
        <f aca="false">K65*10%</f>
        <v>0</v>
      </c>
      <c r="L66" s="101"/>
      <c r="M66" s="102" t="n">
        <f aca="false">M65*10%</f>
        <v>0</v>
      </c>
      <c r="N66" s="104"/>
      <c r="O66" s="102" t="n">
        <f aca="false">O65*10%</f>
        <v>0</v>
      </c>
      <c r="P66" s="104"/>
      <c r="Q66" s="102" t="n">
        <f aca="false">Q65*10%</f>
        <v>0</v>
      </c>
      <c r="R66" s="104"/>
      <c r="S66" s="102" t="n">
        <f aca="false">S65*10%</f>
        <v>0</v>
      </c>
      <c r="T66" s="104"/>
      <c r="U66" s="102" t="n">
        <f aca="false">U65*10%</f>
        <v>0</v>
      </c>
      <c r="V66" s="104"/>
      <c r="W66" s="102" t="n">
        <f aca="false">W65*10%</f>
        <v>0</v>
      </c>
      <c r="X66" s="104"/>
      <c r="Y66" s="102" t="n">
        <f aca="false">Y65*10%</f>
        <v>0</v>
      </c>
      <c r="Z66" s="105"/>
      <c r="AA66" s="106" t="n">
        <f aca="false">AA65*10%</f>
        <v>0</v>
      </c>
      <c r="AB66" s="107"/>
      <c r="AC66" s="106" t="n">
        <f aca="false">AC65*10%</f>
        <v>0</v>
      </c>
      <c r="AD66" s="107"/>
      <c r="AE66" s="106" t="n">
        <f aca="false">AE65*10%</f>
        <v>0</v>
      </c>
      <c r="AF66" s="107"/>
      <c r="AG66" s="106" t="n">
        <f aca="false">AG65*10%</f>
        <v>0</v>
      </c>
      <c r="AH66" s="107"/>
      <c r="AI66" s="106" t="n">
        <f aca="false">AI65*10%</f>
        <v>0</v>
      </c>
      <c r="AJ66" s="107"/>
      <c r="AK66" s="106" t="n">
        <f aca="false">AK65*10%</f>
        <v>0</v>
      </c>
      <c r="AL66" s="107"/>
      <c r="AM66" s="106" t="n">
        <f aca="false">AM65*10%</f>
        <v>0</v>
      </c>
      <c r="AN66" s="107"/>
      <c r="AO66" s="106" t="n">
        <f aca="false">AO65*10%</f>
        <v>0</v>
      </c>
      <c r="AP66" s="107"/>
      <c r="AQ66" s="106" t="n">
        <f aca="false">AQ65*10%</f>
        <v>0</v>
      </c>
      <c r="AR66" s="107"/>
      <c r="AS66" s="106" t="n">
        <f aca="false">AS65*10%</f>
        <v>0</v>
      </c>
      <c r="AT66" s="107"/>
      <c r="AU66" s="106" t="n">
        <f aca="false">AU65*10%</f>
        <v>0</v>
      </c>
      <c r="AV66" s="107"/>
      <c r="AW66" s="106" t="n">
        <f aca="false">AW65*10%</f>
        <v>0</v>
      </c>
      <c r="AX66" s="107"/>
      <c r="AY66" s="106" t="n">
        <f aca="false">AY65*10%</f>
        <v>0</v>
      </c>
      <c r="AZ66" s="107"/>
      <c r="BA66" s="107"/>
    </row>
    <row r="67" s="92" customFormat="true" ht="18" hidden="false" customHeight="true" outlineLevel="0" collapsed="false">
      <c r="A67" s="92" t="s">
        <v>12</v>
      </c>
      <c r="B67" s="108" t="s">
        <v>78</v>
      </c>
      <c r="C67" s="108"/>
      <c r="D67" s="108"/>
      <c r="E67" s="109" t="s">
        <v>78</v>
      </c>
      <c r="F67" s="109"/>
      <c r="G67" s="109"/>
      <c r="H67" s="110"/>
      <c r="I67" s="111" t="n">
        <f aca="false">I65+I66</f>
        <v>0</v>
      </c>
      <c r="J67" s="112"/>
      <c r="K67" s="111" t="n">
        <f aca="false">K65+K66</f>
        <v>0</v>
      </c>
      <c r="L67" s="113"/>
      <c r="M67" s="114" t="n">
        <f aca="false">M65+M66</f>
        <v>0</v>
      </c>
      <c r="N67" s="115"/>
      <c r="O67" s="114" t="n">
        <f aca="false">O65+O66</f>
        <v>0</v>
      </c>
      <c r="P67" s="115"/>
      <c r="Q67" s="114" t="n">
        <f aca="false">Q65+Q66</f>
        <v>0</v>
      </c>
      <c r="R67" s="116"/>
      <c r="S67" s="111" t="n">
        <f aca="false">S65+S66</f>
        <v>0</v>
      </c>
      <c r="T67" s="115"/>
      <c r="U67" s="114" t="n">
        <f aca="false">U65+U66</f>
        <v>0</v>
      </c>
      <c r="V67" s="115"/>
      <c r="W67" s="114" t="n">
        <f aca="false">W65+W66</f>
        <v>0</v>
      </c>
      <c r="X67" s="116"/>
      <c r="Y67" s="111" t="n">
        <f aca="false">Y65+Y66</f>
        <v>0</v>
      </c>
      <c r="Z67" s="117"/>
      <c r="AA67" s="118" t="n">
        <f aca="false">AA65+AA66</f>
        <v>0</v>
      </c>
      <c r="AB67" s="119"/>
      <c r="AC67" s="118" t="n">
        <f aca="false">AC65+AC66</f>
        <v>0</v>
      </c>
      <c r="AD67" s="119"/>
      <c r="AE67" s="118" t="n">
        <f aca="false">AE65+AE66</f>
        <v>0</v>
      </c>
      <c r="AF67" s="119"/>
      <c r="AG67" s="118" t="n">
        <f aca="false">AG65+AG66</f>
        <v>0</v>
      </c>
      <c r="AH67" s="119"/>
      <c r="AI67" s="118" t="n">
        <f aca="false">AI65+AI66</f>
        <v>0</v>
      </c>
      <c r="AJ67" s="119"/>
      <c r="AK67" s="118" t="n">
        <f aca="false">AK65+AK66</f>
        <v>0</v>
      </c>
      <c r="AL67" s="119"/>
      <c r="AM67" s="118" t="n">
        <f aca="false">AM65+AM66</f>
        <v>0</v>
      </c>
      <c r="AN67" s="119"/>
      <c r="AO67" s="118" t="n">
        <f aca="false">AO65+AO66</f>
        <v>0</v>
      </c>
      <c r="AP67" s="119"/>
      <c r="AQ67" s="118" t="n">
        <f aca="false">AQ65+AQ66</f>
        <v>0</v>
      </c>
      <c r="AR67" s="119"/>
      <c r="AS67" s="118" t="n">
        <f aca="false">AS65+AS66</f>
        <v>0</v>
      </c>
      <c r="AT67" s="119"/>
      <c r="AU67" s="118" t="n">
        <f aca="false">AU65+AU66</f>
        <v>0</v>
      </c>
      <c r="AV67" s="119"/>
      <c r="AW67" s="118" t="n">
        <f aca="false">AW65+AW66</f>
        <v>0</v>
      </c>
      <c r="AX67" s="119"/>
      <c r="AY67" s="118" t="n">
        <f aca="false">AY65+AY66</f>
        <v>0</v>
      </c>
      <c r="AZ67" s="118" t="n">
        <f aca="false">AZ65+AZ66</f>
        <v>0</v>
      </c>
      <c r="BA67" s="118" t="n">
        <f aca="false">BA65+BA66</f>
        <v>0</v>
      </c>
    </row>
    <row r="68" customFormat="false" ht="21.75" hidden="false" customHeight="true" outlineLevel="0" collapsed="false">
      <c r="B68" s="120"/>
      <c r="C68" s="121"/>
      <c r="D68" s="122"/>
      <c r="E68" s="120"/>
      <c r="F68" s="121"/>
      <c r="G68" s="122"/>
      <c r="H68" s="123"/>
      <c r="I68" s="124"/>
      <c r="J68" s="125"/>
      <c r="K68" s="124"/>
      <c r="L68" s="123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</row>
    <row r="69" customFormat="false" ht="15" hidden="false" customHeight="false" outlineLevel="0" collapsed="false">
      <c r="B69" s="126"/>
      <c r="C69" s="127"/>
      <c r="D69" s="128"/>
      <c r="E69" s="126"/>
      <c r="F69" s="127"/>
      <c r="G69" s="128"/>
    </row>
    <row r="70" customFormat="false" ht="15" hidden="false" customHeight="false" outlineLevel="0" collapsed="false">
      <c r="B70" s="126"/>
      <c r="C70" s="127"/>
      <c r="D70" s="128"/>
      <c r="E70" s="126"/>
      <c r="F70" s="127"/>
      <c r="G70" s="128"/>
    </row>
    <row r="71" customFormat="false" ht="15" hidden="false" customHeight="false" outlineLevel="0" collapsed="false">
      <c r="B71" s="126"/>
      <c r="C71" s="127"/>
      <c r="D71" s="128"/>
      <c r="E71" s="126"/>
      <c r="F71" s="127"/>
      <c r="G71" s="128"/>
    </row>
    <row r="72" customFormat="false" ht="15" hidden="false" customHeight="false" outlineLevel="0" collapsed="false">
      <c r="B72" s="126"/>
      <c r="C72" s="127"/>
      <c r="D72" s="128"/>
      <c r="E72" s="126"/>
      <c r="F72" s="127"/>
      <c r="G72" s="128"/>
    </row>
    <row r="75" customFormat="false" ht="15" hidden="false" customHeight="false" outlineLevel="0" collapsed="false">
      <c r="J75" s="129" t="n">
        <f aca="false">J73-J67</f>
        <v>0</v>
      </c>
      <c r="K75" s="130"/>
    </row>
  </sheetData>
  <autoFilter ref="A2:BA67">
    <filterColumn colId="0">
      <filters>
        <filter val="S"/>
      </filters>
    </filterColumn>
  </autoFilter>
  <mergeCells count="30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64:D64"/>
    <mergeCell ref="E64:G64"/>
    <mergeCell ref="B65:D65"/>
    <mergeCell ref="E65:G65"/>
    <mergeCell ref="B66:D66"/>
    <mergeCell ref="E66:G66"/>
    <mergeCell ref="B67:D67"/>
    <mergeCell ref="E67:G67"/>
  </mergeCells>
  <printOptions headings="false" gridLines="false" gridLinesSet="true" horizontalCentered="true" verticalCentered="false"/>
  <pageMargins left="0" right="0" top="0.7875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I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67 A1"/>
    </sheetView>
  </sheetViews>
  <sheetFormatPr defaultColWidth="8.796875" defaultRowHeight="15" customHeight="false" zeroHeight="false" outlineLevelRow="0" outlineLevelCol="0"/>
  <sheetData>
    <row r="1" customFormat="false" ht="15" hidden="false" customHeight="false" outlineLevel="0" collapsed="false">
      <c r="I1" s="0" t="s">
        <v>79</v>
      </c>
      <c r="K1" s="0" t="s">
        <v>80</v>
      </c>
    </row>
    <row r="2" customFormat="false" ht="15" hidden="false" customHeight="false" outlineLevel="0" collapsed="false">
      <c r="I2" s="0" t="s">
        <v>81</v>
      </c>
      <c r="K2" s="0" t="s">
        <v>82</v>
      </c>
    </row>
    <row r="3" customFormat="false" ht="15" hidden="false" customHeight="false" outlineLevel="0" collapsed="false">
      <c r="I3" s="0" t="s">
        <v>83</v>
      </c>
    </row>
    <row r="4" customFormat="false" ht="15" hidden="false" customHeight="false" outlineLevel="0" collapsed="false">
      <c r="I4" s="0" t="s">
        <v>84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Bree_XLSX_Editor/1.0.0.$MacOSX_X86_64 LibreOffice_project/f7828aa1ee69690a99726c8f658d8eb1261e53dc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2026-02-17T16:15:09Z</dcterms:created>
  <dc:creator>Ricardo Mendonca</dc:creator>
  <dc:description/>
  <dc:language>pt-BR</dc:language>
  <cp:lastModifiedBy/>
  <cp:lastPrinted>2026-07-28T17:09:26Z</cp:lastPrinted>
  <dcterms:modified xsi:type="dcterms:W3CDTF">2026-09-26T10:46:42Z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23.1.11.0</vt:lpwstr>
  </property>
</Properties>
</file>