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6df7863cad229a55/Documentos/700 - Le Clair/Cardapios/"/>
    </mc:Choice>
  </mc:AlternateContent>
  <xr:revisionPtr revIDLastSave="272" documentId="8_{A6AFE300-F54D-46FB-A3AC-178E5F196D02}" xr6:coauthVersionLast="47" xr6:coauthVersionMax="47" xr10:uidLastSave="{F5953FDD-9BFF-44E6-A76A-3DF828611819}"/>
  <bookViews>
    <workbookView xWindow="-120" yWindow="-120" windowWidth="29040" windowHeight="15720" xr2:uid="{00000000-000D-0000-FFFF-FFFF00000000}"/>
  </bookViews>
  <sheets>
    <sheet name="Sheet" sheetId="1" r:id="rId1"/>
    <sheet name="Sheet2" sheetId="2" state="hidden" r:id="rId2"/>
  </sheets>
  <definedNames>
    <definedName name="_xlnm._FilterDatabase" localSheetId="0" hidden="1">Sheet!$A$2:$BA$67</definedName>
    <definedName name="_xlnm.Print_Area" localSheetId="0">Sheet!$B$1:$D$67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57" i="1" l="1"/>
  <c r="BA57" i="1" s="1"/>
  <c r="AY57" i="1"/>
  <c r="AW57" i="1"/>
  <c r="AU57" i="1"/>
  <c r="AS57" i="1"/>
  <c r="AQ57" i="1"/>
  <c r="AO57" i="1"/>
  <c r="AM57" i="1"/>
  <c r="AK57" i="1"/>
  <c r="AI57" i="1"/>
  <c r="AG57" i="1"/>
  <c r="AE57" i="1"/>
  <c r="AC57" i="1"/>
  <c r="AA57" i="1"/>
  <c r="Y57" i="1"/>
  <c r="W57" i="1"/>
  <c r="U57" i="1"/>
  <c r="S57" i="1"/>
  <c r="Q57" i="1"/>
  <c r="O57" i="1"/>
  <c r="M57" i="1"/>
  <c r="K57" i="1"/>
  <c r="I57" i="1"/>
  <c r="G57" i="1"/>
  <c r="F57" i="1"/>
  <c r="E57" i="1"/>
  <c r="E61" i="1"/>
  <c r="E60" i="1"/>
  <c r="E59" i="1"/>
  <c r="G62" i="1"/>
  <c r="F62" i="1"/>
  <c r="E62" i="1"/>
  <c r="G63" i="1"/>
  <c r="F63" i="1"/>
  <c r="E63" i="1"/>
  <c r="AZ63" i="1"/>
  <c r="BA63" i="1" s="1"/>
  <c r="AY63" i="1"/>
  <c r="AW63" i="1"/>
  <c r="AU63" i="1"/>
  <c r="AS63" i="1"/>
  <c r="AQ63" i="1"/>
  <c r="AO63" i="1"/>
  <c r="AM63" i="1"/>
  <c r="AK63" i="1"/>
  <c r="AI63" i="1"/>
  <c r="AG63" i="1"/>
  <c r="AE63" i="1"/>
  <c r="AC63" i="1"/>
  <c r="AA63" i="1"/>
  <c r="Y63" i="1"/>
  <c r="W63" i="1"/>
  <c r="U63" i="1"/>
  <c r="S63" i="1"/>
  <c r="Q63" i="1"/>
  <c r="O63" i="1"/>
  <c r="M63" i="1"/>
  <c r="K63" i="1"/>
  <c r="I63" i="1"/>
  <c r="G27" i="1"/>
  <c r="F27" i="1"/>
  <c r="E27" i="1"/>
  <c r="G26" i="1"/>
  <c r="F26" i="1"/>
  <c r="E26" i="1"/>
  <c r="G25" i="1"/>
  <c r="F25" i="1"/>
  <c r="E25" i="1"/>
  <c r="G24" i="1"/>
  <c r="F24" i="1"/>
  <c r="E24" i="1"/>
  <c r="G23" i="1"/>
  <c r="F23" i="1"/>
  <c r="E23" i="1"/>
  <c r="G22" i="1"/>
  <c r="F22" i="1"/>
  <c r="E22" i="1"/>
  <c r="G21" i="1"/>
  <c r="F21" i="1"/>
  <c r="E21" i="1"/>
  <c r="G20" i="1"/>
  <c r="F20" i="1"/>
  <c r="E20" i="1"/>
  <c r="G19" i="1"/>
  <c r="F19" i="1"/>
  <c r="E19" i="1"/>
  <c r="G18" i="1"/>
  <c r="F18" i="1"/>
  <c r="E18" i="1"/>
  <c r="G17" i="1"/>
  <c r="F17" i="1"/>
  <c r="E17" i="1"/>
  <c r="G16" i="1"/>
  <c r="F16" i="1"/>
  <c r="E16" i="1"/>
  <c r="G15" i="1"/>
  <c r="F15" i="1"/>
  <c r="E15" i="1"/>
  <c r="G14" i="1"/>
  <c r="F14" i="1"/>
  <c r="E14" i="1"/>
  <c r="G13" i="1"/>
  <c r="F13" i="1"/>
  <c r="E13" i="1"/>
  <c r="G12" i="1"/>
  <c r="F12" i="1"/>
  <c r="E12" i="1"/>
  <c r="G11" i="1"/>
  <c r="F11" i="1"/>
  <c r="E11" i="1"/>
  <c r="G10" i="1"/>
  <c r="F10" i="1"/>
  <c r="E10" i="1"/>
  <c r="G9" i="1"/>
  <c r="F9" i="1"/>
  <c r="E9" i="1"/>
  <c r="G8" i="1"/>
  <c r="F8" i="1"/>
  <c r="E8" i="1"/>
  <c r="G7" i="1"/>
  <c r="F7" i="1"/>
  <c r="E7" i="1"/>
  <c r="G6" i="1"/>
  <c r="F6" i="1"/>
  <c r="E6" i="1"/>
  <c r="G5" i="1"/>
  <c r="F5" i="1"/>
  <c r="E5" i="1"/>
  <c r="AZ23" i="1"/>
  <c r="BA23" i="1" s="1"/>
  <c r="AY23" i="1"/>
  <c r="AW23" i="1"/>
  <c r="AU23" i="1"/>
  <c r="AS23" i="1"/>
  <c r="AQ23" i="1"/>
  <c r="AO23" i="1"/>
  <c r="AM23" i="1"/>
  <c r="AK23" i="1"/>
  <c r="AI23" i="1"/>
  <c r="AG23" i="1"/>
  <c r="AE23" i="1"/>
  <c r="AC23" i="1"/>
  <c r="AA23" i="1"/>
  <c r="Y23" i="1"/>
  <c r="W23" i="1"/>
  <c r="U23" i="1"/>
  <c r="S23" i="1"/>
  <c r="Q23" i="1"/>
  <c r="O23" i="1"/>
  <c r="M23" i="1"/>
  <c r="K23" i="1"/>
  <c r="I23" i="1"/>
  <c r="G33" i="1"/>
  <c r="F33" i="1"/>
  <c r="E33" i="1"/>
  <c r="G32" i="1"/>
  <c r="F32" i="1"/>
  <c r="E32" i="1"/>
  <c r="G31" i="1"/>
  <c r="F31" i="1"/>
  <c r="E31" i="1"/>
  <c r="G30" i="1"/>
  <c r="F30" i="1"/>
  <c r="E30" i="1"/>
  <c r="G29" i="1"/>
  <c r="F29" i="1"/>
  <c r="E29" i="1"/>
  <c r="F2" i="1"/>
  <c r="F1" i="1"/>
  <c r="G47" i="1"/>
  <c r="F47" i="1"/>
  <c r="E47" i="1"/>
  <c r="G46" i="1"/>
  <c r="F46" i="1"/>
  <c r="E46" i="1"/>
  <c r="G45" i="1"/>
  <c r="F45" i="1"/>
  <c r="E45" i="1"/>
  <c r="AZ46" i="1"/>
  <c r="BA46" i="1" s="1"/>
  <c r="AY46" i="1"/>
  <c r="AW46" i="1"/>
  <c r="AU46" i="1"/>
  <c r="AS46" i="1"/>
  <c r="AQ46" i="1"/>
  <c r="AO46" i="1"/>
  <c r="AM46" i="1"/>
  <c r="AK46" i="1"/>
  <c r="AI46" i="1"/>
  <c r="AG46" i="1"/>
  <c r="AE46" i="1"/>
  <c r="AC46" i="1"/>
  <c r="AA46" i="1"/>
  <c r="Y46" i="1"/>
  <c r="W46" i="1"/>
  <c r="U46" i="1"/>
  <c r="S46" i="1"/>
  <c r="Q46" i="1"/>
  <c r="O46" i="1"/>
  <c r="M46" i="1"/>
  <c r="K46" i="1"/>
  <c r="I46" i="1"/>
  <c r="F3" i="1"/>
  <c r="G56" i="1"/>
  <c r="G55" i="1"/>
  <c r="G54" i="1"/>
  <c r="G53" i="1"/>
  <c r="G52" i="1"/>
  <c r="G51" i="1"/>
  <c r="G50" i="1"/>
  <c r="G49" i="1"/>
  <c r="F56" i="1"/>
  <c r="F55" i="1"/>
  <c r="F54" i="1"/>
  <c r="F53" i="1"/>
  <c r="F52" i="1"/>
  <c r="F51" i="1"/>
  <c r="F50" i="1"/>
  <c r="F49" i="1"/>
  <c r="E56" i="1"/>
  <c r="E55" i="1"/>
  <c r="E54" i="1"/>
  <c r="E53" i="1"/>
  <c r="E52" i="1"/>
  <c r="E51" i="1"/>
  <c r="E50" i="1"/>
  <c r="E49" i="1"/>
  <c r="G4" i="1"/>
  <c r="F4" i="1"/>
  <c r="E4" i="1"/>
  <c r="AZ54" i="1"/>
  <c r="BA54" i="1" s="1"/>
  <c r="AY54" i="1"/>
  <c r="AW54" i="1"/>
  <c r="AU54" i="1"/>
  <c r="AS54" i="1"/>
  <c r="AQ54" i="1"/>
  <c r="AO54" i="1"/>
  <c r="AM54" i="1"/>
  <c r="AK54" i="1"/>
  <c r="AI54" i="1"/>
  <c r="AG54" i="1"/>
  <c r="AE54" i="1"/>
  <c r="AC54" i="1"/>
  <c r="AA54" i="1"/>
  <c r="Y54" i="1"/>
  <c r="W54" i="1"/>
  <c r="U54" i="1"/>
  <c r="S54" i="1"/>
  <c r="Q54" i="1"/>
  <c r="O54" i="1"/>
  <c r="M54" i="1"/>
  <c r="K54" i="1"/>
  <c r="I54" i="1"/>
  <c r="G2" i="1"/>
  <c r="E2" i="1"/>
  <c r="AZ27" i="1"/>
  <c r="BA27" i="1" s="1"/>
  <c r="AY27" i="1"/>
  <c r="AW27" i="1"/>
  <c r="AU27" i="1"/>
  <c r="AS27" i="1"/>
  <c r="AQ27" i="1"/>
  <c r="AO27" i="1"/>
  <c r="AM27" i="1"/>
  <c r="AK27" i="1"/>
  <c r="AI27" i="1"/>
  <c r="AG27" i="1"/>
  <c r="AE27" i="1"/>
  <c r="AC27" i="1"/>
  <c r="AA27" i="1"/>
  <c r="Y27" i="1"/>
  <c r="W27" i="1"/>
  <c r="U27" i="1"/>
  <c r="S27" i="1"/>
  <c r="Q27" i="1"/>
  <c r="O27" i="1"/>
  <c r="M27" i="1"/>
  <c r="K27" i="1"/>
  <c r="I27" i="1"/>
  <c r="AZ26" i="1"/>
  <c r="BA26" i="1" s="1"/>
  <c r="AY26" i="1"/>
  <c r="AW26" i="1"/>
  <c r="AU26" i="1"/>
  <c r="AS26" i="1"/>
  <c r="AQ26" i="1"/>
  <c r="AO26" i="1"/>
  <c r="AM26" i="1"/>
  <c r="AK26" i="1"/>
  <c r="AI26" i="1"/>
  <c r="AG26" i="1"/>
  <c r="AE26" i="1"/>
  <c r="AC26" i="1"/>
  <c r="AA26" i="1"/>
  <c r="Y26" i="1"/>
  <c r="W26" i="1"/>
  <c r="U26" i="1"/>
  <c r="S26" i="1"/>
  <c r="Q26" i="1"/>
  <c r="O26" i="1"/>
  <c r="M26" i="1"/>
  <c r="K26" i="1"/>
  <c r="I26" i="1"/>
  <c r="AZ24" i="1"/>
  <c r="BA24" i="1" s="1"/>
  <c r="AY24" i="1"/>
  <c r="AW24" i="1"/>
  <c r="AU24" i="1"/>
  <c r="AS24" i="1"/>
  <c r="AQ24" i="1"/>
  <c r="AO24" i="1"/>
  <c r="AM24" i="1"/>
  <c r="AK24" i="1"/>
  <c r="AI24" i="1"/>
  <c r="AG24" i="1"/>
  <c r="AE24" i="1"/>
  <c r="AC24" i="1"/>
  <c r="AA24" i="1"/>
  <c r="Y24" i="1"/>
  <c r="W24" i="1"/>
  <c r="U24" i="1"/>
  <c r="S24" i="1"/>
  <c r="Q24" i="1"/>
  <c r="O24" i="1"/>
  <c r="M24" i="1"/>
  <c r="K24" i="1"/>
  <c r="I24" i="1"/>
  <c r="AZ22" i="1"/>
  <c r="BA22" i="1" s="1"/>
  <c r="AY22" i="1"/>
  <c r="AW22" i="1"/>
  <c r="AU22" i="1"/>
  <c r="AS22" i="1"/>
  <c r="AQ22" i="1"/>
  <c r="AO22" i="1"/>
  <c r="AM22" i="1"/>
  <c r="AK22" i="1"/>
  <c r="AI22" i="1"/>
  <c r="AG22" i="1"/>
  <c r="AE22" i="1"/>
  <c r="AC22" i="1"/>
  <c r="AA22" i="1"/>
  <c r="Y22" i="1"/>
  <c r="W22" i="1"/>
  <c r="U22" i="1"/>
  <c r="S22" i="1"/>
  <c r="Q22" i="1"/>
  <c r="O22" i="1"/>
  <c r="M22" i="1"/>
  <c r="K22" i="1"/>
  <c r="I22" i="1"/>
  <c r="AZ21" i="1"/>
  <c r="BA21" i="1" s="1"/>
  <c r="AY21" i="1"/>
  <c r="AW21" i="1"/>
  <c r="AU21" i="1"/>
  <c r="AS21" i="1"/>
  <c r="AQ21" i="1"/>
  <c r="AO21" i="1"/>
  <c r="AM21" i="1"/>
  <c r="AK21" i="1"/>
  <c r="AI21" i="1"/>
  <c r="AG21" i="1"/>
  <c r="AE21" i="1"/>
  <c r="AC21" i="1"/>
  <c r="AA21" i="1"/>
  <c r="Y21" i="1"/>
  <c r="W21" i="1"/>
  <c r="U21" i="1"/>
  <c r="S21" i="1"/>
  <c r="Q21" i="1"/>
  <c r="O21" i="1"/>
  <c r="M21" i="1"/>
  <c r="K21" i="1"/>
  <c r="I21" i="1"/>
  <c r="I25" i="1"/>
  <c r="BA64" i="1"/>
  <c r="AZ62" i="1"/>
  <c r="BA62" i="1" s="1"/>
  <c r="AZ61" i="1"/>
  <c r="BA61" i="1" s="1"/>
  <c r="AZ60" i="1"/>
  <c r="BA60" i="1" s="1"/>
  <c r="AZ59" i="1"/>
  <c r="BA59" i="1" s="1"/>
  <c r="AZ58" i="1"/>
  <c r="BA58" i="1" s="1"/>
  <c r="AZ56" i="1"/>
  <c r="BA56" i="1" s="1"/>
  <c r="AZ55" i="1"/>
  <c r="BA55" i="1" s="1"/>
  <c r="AZ53" i="1"/>
  <c r="BA53" i="1" s="1"/>
  <c r="AZ52" i="1"/>
  <c r="BA52" i="1" s="1"/>
  <c r="AZ51" i="1"/>
  <c r="BA51" i="1" s="1"/>
  <c r="AZ50" i="1"/>
  <c r="BA50" i="1" s="1"/>
  <c r="AZ49" i="1"/>
  <c r="BA49" i="1" s="1"/>
  <c r="AZ48" i="1"/>
  <c r="BA48" i="1" s="1"/>
  <c r="AZ47" i="1"/>
  <c r="BA47" i="1" s="1"/>
  <c r="AZ45" i="1"/>
  <c r="BA45" i="1" s="1"/>
  <c r="AZ44" i="1"/>
  <c r="BA44" i="1" s="1"/>
  <c r="AZ43" i="1"/>
  <c r="BA43" i="1" s="1"/>
  <c r="AZ42" i="1"/>
  <c r="BA42" i="1" s="1"/>
  <c r="AZ41" i="1"/>
  <c r="BA41" i="1" s="1"/>
  <c r="AZ40" i="1"/>
  <c r="BA40" i="1" s="1"/>
  <c r="AZ39" i="1"/>
  <c r="BA39" i="1" s="1"/>
  <c r="AZ38" i="1"/>
  <c r="BA38" i="1" s="1"/>
  <c r="AZ37" i="1"/>
  <c r="BA37" i="1" s="1"/>
  <c r="AZ36" i="1"/>
  <c r="BA36" i="1" s="1"/>
  <c r="AZ35" i="1"/>
  <c r="BA35" i="1" s="1"/>
  <c r="AZ34" i="1"/>
  <c r="BA34" i="1" s="1"/>
  <c r="AZ33" i="1"/>
  <c r="BA33" i="1" s="1"/>
  <c r="AZ32" i="1"/>
  <c r="BA32" i="1" s="1"/>
  <c r="AZ31" i="1"/>
  <c r="BA31" i="1" s="1"/>
  <c r="AZ30" i="1"/>
  <c r="BA30" i="1" s="1"/>
  <c r="AZ29" i="1"/>
  <c r="BA29" i="1" s="1"/>
  <c r="AZ28" i="1"/>
  <c r="BA28" i="1" s="1"/>
  <c r="AZ25" i="1"/>
  <c r="BA25" i="1" s="1"/>
  <c r="AZ20" i="1"/>
  <c r="BA20" i="1" s="1"/>
  <c r="AZ19" i="1"/>
  <c r="BA19" i="1" s="1"/>
  <c r="AZ18" i="1"/>
  <c r="BA18" i="1" s="1"/>
  <c r="AZ17" i="1"/>
  <c r="BA17" i="1" s="1"/>
  <c r="AZ16" i="1"/>
  <c r="BA16" i="1" s="1"/>
  <c r="AZ15" i="1"/>
  <c r="BA15" i="1" s="1"/>
  <c r="AZ14" i="1"/>
  <c r="BA14" i="1" s="1"/>
  <c r="AZ13" i="1"/>
  <c r="BA13" i="1" s="1"/>
  <c r="AZ12" i="1"/>
  <c r="BA12" i="1" s="1"/>
  <c r="AZ11" i="1"/>
  <c r="BA11" i="1" s="1"/>
  <c r="AZ10" i="1"/>
  <c r="BA10" i="1" s="1"/>
  <c r="AZ9" i="1"/>
  <c r="BA9" i="1" s="1"/>
  <c r="AZ8" i="1"/>
  <c r="BA8" i="1" s="1"/>
  <c r="AZ7" i="1"/>
  <c r="BA7" i="1" s="1"/>
  <c r="AZ6" i="1"/>
  <c r="BA6" i="1" s="1"/>
  <c r="AZ5" i="1"/>
  <c r="BA5" i="1" s="1"/>
  <c r="AZ4" i="1"/>
  <c r="BA4" i="1" s="1"/>
  <c r="AX65" i="1"/>
  <c r="AV65" i="1"/>
  <c r="AT65" i="1"/>
  <c r="AR65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Y62" i="1"/>
  <c r="AW62" i="1"/>
  <c r="AU62" i="1"/>
  <c r="AS62" i="1"/>
  <c r="AQ62" i="1"/>
  <c r="AO62" i="1"/>
  <c r="AM62" i="1"/>
  <c r="AK62" i="1"/>
  <c r="AY61" i="1"/>
  <c r="AW61" i="1"/>
  <c r="AU61" i="1"/>
  <c r="AS61" i="1"/>
  <c r="AQ61" i="1"/>
  <c r="AO61" i="1"/>
  <c r="AM61" i="1"/>
  <c r="AK61" i="1"/>
  <c r="AY60" i="1"/>
  <c r="AW60" i="1"/>
  <c r="AU60" i="1"/>
  <c r="AS60" i="1"/>
  <c r="AQ60" i="1"/>
  <c r="AO60" i="1"/>
  <c r="AM60" i="1"/>
  <c r="AK60" i="1"/>
  <c r="AY59" i="1"/>
  <c r="AW59" i="1"/>
  <c r="AU59" i="1"/>
  <c r="AS59" i="1"/>
  <c r="AQ59" i="1"/>
  <c r="AO59" i="1"/>
  <c r="AM59" i="1"/>
  <c r="AK59" i="1"/>
  <c r="AY58" i="1"/>
  <c r="AW58" i="1"/>
  <c r="AU58" i="1"/>
  <c r="AS58" i="1"/>
  <c r="AQ58" i="1"/>
  <c r="AO58" i="1"/>
  <c r="AM58" i="1"/>
  <c r="AK58" i="1"/>
  <c r="AY56" i="1"/>
  <c r="AW56" i="1"/>
  <c r="AU56" i="1"/>
  <c r="AS56" i="1"/>
  <c r="AQ56" i="1"/>
  <c r="AO56" i="1"/>
  <c r="AM56" i="1"/>
  <c r="AK56" i="1"/>
  <c r="AY55" i="1"/>
  <c r="AW55" i="1"/>
  <c r="AU55" i="1"/>
  <c r="AS55" i="1"/>
  <c r="AQ55" i="1"/>
  <c r="AO55" i="1"/>
  <c r="AM55" i="1"/>
  <c r="AK55" i="1"/>
  <c r="AY53" i="1"/>
  <c r="AW53" i="1"/>
  <c r="AU53" i="1"/>
  <c r="AS53" i="1"/>
  <c r="AQ53" i="1"/>
  <c r="AO53" i="1"/>
  <c r="AM53" i="1"/>
  <c r="AK53" i="1"/>
  <c r="AY52" i="1"/>
  <c r="AW52" i="1"/>
  <c r="AU52" i="1"/>
  <c r="AS52" i="1"/>
  <c r="AQ52" i="1"/>
  <c r="AO52" i="1"/>
  <c r="AM52" i="1"/>
  <c r="AK52" i="1"/>
  <c r="AY51" i="1"/>
  <c r="AW51" i="1"/>
  <c r="AU51" i="1"/>
  <c r="AS51" i="1"/>
  <c r="AQ51" i="1"/>
  <c r="AO51" i="1"/>
  <c r="AM51" i="1"/>
  <c r="AK51" i="1"/>
  <c r="AY50" i="1"/>
  <c r="AW50" i="1"/>
  <c r="AU50" i="1"/>
  <c r="AS50" i="1"/>
  <c r="AQ50" i="1"/>
  <c r="AO50" i="1"/>
  <c r="AM50" i="1"/>
  <c r="AK50" i="1"/>
  <c r="AY49" i="1"/>
  <c r="AW49" i="1"/>
  <c r="AU49" i="1"/>
  <c r="AS49" i="1"/>
  <c r="AQ49" i="1"/>
  <c r="AO49" i="1"/>
  <c r="AM49" i="1"/>
  <c r="AK49" i="1"/>
  <c r="AY48" i="1"/>
  <c r="AW48" i="1"/>
  <c r="AU48" i="1"/>
  <c r="AS48" i="1"/>
  <c r="AQ48" i="1"/>
  <c r="AO48" i="1"/>
  <c r="AM48" i="1"/>
  <c r="AK48" i="1"/>
  <c r="AY47" i="1"/>
  <c r="AW47" i="1"/>
  <c r="AU47" i="1"/>
  <c r="AS47" i="1"/>
  <c r="AQ47" i="1"/>
  <c r="AO47" i="1"/>
  <c r="AM47" i="1"/>
  <c r="AK47" i="1"/>
  <c r="AY45" i="1"/>
  <c r="AW45" i="1"/>
  <c r="AU45" i="1"/>
  <c r="AS45" i="1"/>
  <c r="AQ45" i="1"/>
  <c r="AO45" i="1"/>
  <c r="AM45" i="1"/>
  <c r="AK45" i="1"/>
  <c r="AY44" i="1"/>
  <c r="AW44" i="1"/>
  <c r="AU44" i="1"/>
  <c r="AS44" i="1"/>
  <c r="AQ44" i="1"/>
  <c r="AO44" i="1"/>
  <c r="AM44" i="1"/>
  <c r="AK44" i="1"/>
  <c r="AY43" i="1"/>
  <c r="AW43" i="1"/>
  <c r="AU43" i="1"/>
  <c r="AS43" i="1"/>
  <c r="AQ43" i="1"/>
  <c r="AO43" i="1"/>
  <c r="AM43" i="1"/>
  <c r="AK43" i="1"/>
  <c r="AY42" i="1"/>
  <c r="AW42" i="1"/>
  <c r="AU42" i="1"/>
  <c r="AS42" i="1"/>
  <c r="AQ42" i="1"/>
  <c r="AO42" i="1"/>
  <c r="AM42" i="1"/>
  <c r="AK42" i="1"/>
  <c r="AY41" i="1"/>
  <c r="AW41" i="1"/>
  <c r="AU41" i="1"/>
  <c r="AS41" i="1"/>
  <c r="AQ41" i="1"/>
  <c r="AO41" i="1"/>
  <c r="AM41" i="1"/>
  <c r="AK41" i="1"/>
  <c r="AY40" i="1"/>
  <c r="AW40" i="1"/>
  <c r="AU40" i="1"/>
  <c r="AS40" i="1"/>
  <c r="AQ40" i="1"/>
  <c r="AO40" i="1"/>
  <c r="AM40" i="1"/>
  <c r="AK40" i="1"/>
  <c r="AY39" i="1"/>
  <c r="AW39" i="1"/>
  <c r="AU39" i="1"/>
  <c r="AS39" i="1"/>
  <c r="AQ39" i="1"/>
  <c r="AO39" i="1"/>
  <c r="AM39" i="1"/>
  <c r="AK39" i="1"/>
  <c r="AY38" i="1"/>
  <c r="AW38" i="1"/>
  <c r="AU38" i="1"/>
  <c r="AS38" i="1"/>
  <c r="AQ38" i="1"/>
  <c r="AO38" i="1"/>
  <c r="AM38" i="1"/>
  <c r="AK38" i="1"/>
  <c r="AY37" i="1"/>
  <c r="AW37" i="1"/>
  <c r="AU37" i="1"/>
  <c r="AS37" i="1"/>
  <c r="AQ37" i="1"/>
  <c r="AO37" i="1"/>
  <c r="AM37" i="1"/>
  <c r="AK37" i="1"/>
  <c r="AY36" i="1"/>
  <c r="AW36" i="1"/>
  <c r="AU36" i="1"/>
  <c r="AS36" i="1"/>
  <c r="AQ36" i="1"/>
  <c r="AO36" i="1"/>
  <c r="AM36" i="1"/>
  <c r="AK36" i="1"/>
  <c r="AY35" i="1"/>
  <c r="AW35" i="1"/>
  <c r="AU35" i="1"/>
  <c r="AS35" i="1"/>
  <c r="AQ35" i="1"/>
  <c r="AO35" i="1"/>
  <c r="AM35" i="1"/>
  <c r="AK35" i="1"/>
  <c r="AY34" i="1"/>
  <c r="AW34" i="1"/>
  <c r="AU34" i="1"/>
  <c r="AS34" i="1"/>
  <c r="AQ34" i="1"/>
  <c r="AO34" i="1"/>
  <c r="AM34" i="1"/>
  <c r="AK34" i="1"/>
  <c r="AY33" i="1"/>
  <c r="AW33" i="1"/>
  <c r="AU33" i="1"/>
  <c r="AS33" i="1"/>
  <c r="AQ33" i="1"/>
  <c r="AO33" i="1"/>
  <c r="AM33" i="1"/>
  <c r="AK33" i="1"/>
  <c r="AY32" i="1"/>
  <c r="AW32" i="1"/>
  <c r="AU32" i="1"/>
  <c r="AS32" i="1"/>
  <c r="AQ32" i="1"/>
  <c r="AO32" i="1"/>
  <c r="AM32" i="1"/>
  <c r="AK32" i="1"/>
  <c r="AY31" i="1"/>
  <c r="AW31" i="1"/>
  <c r="AU31" i="1"/>
  <c r="AS31" i="1"/>
  <c r="AQ31" i="1"/>
  <c r="AO31" i="1"/>
  <c r="AM31" i="1"/>
  <c r="AK31" i="1"/>
  <c r="AY30" i="1"/>
  <c r="AW30" i="1"/>
  <c r="AU30" i="1"/>
  <c r="AS30" i="1"/>
  <c r="AQ30" i="1"/>
  <c r="AO30" i="1"/>
  <c r="AM30" i="1"/>
  <c r="AK30" i="1"/>
  <c r="AY29" i="1"/>
  <c r="AW29" i="1"/>
  <c r="AU29" i="1"/>
  <c r="AS29" i="1"/>
  <c r="AQ29" i="1"/>
  <c r="AO29" i="1"/>
  <c r="AM29" i="1"/>
  <c r="AK29" i="1"/>
  <c r="AY28" i="1"/>
  <c r="AW28" i="1"/>
  <c r="AU28" i="1"/>
  <c r="AS28" i="1"/>
  <c r="AQ28" i="1"/>
  <c r="AO28" i="1"/>
  <c r="AM28" i="1"/>
  <c r="AK28" i="1"/>
  <c r="AY25" i="1"/>
  <c r="AW25" i="1"/>
  <c r="AU25" i="1"/>
  <c r="AS25" i="1"/>
  <c r="AQ25" i="1"/>
  <c r="AO25" i="1"/>
  <c r="AM25" i="1"/>
  <c r="AK25" i="1"/>
  <c r="AY20" i="1"/>
  <c r="AW20" i="1"/>
  <c r="AU20" i="1"/>
  <c r="AS20" i="1"/>
  <c r="AQ20" i="1"/>
  <c r="AO20" i="1"/>
  <c r="AM20" i="1"/>
  <c r="AK20" i="1"/>
  <c r="AY19" i="1"/>
  <c r="AW19" i="1"/>
  <c r="AU19" i="1"/>
  <c r="AS19" i="1"/>
  <c r="AQ19" i="1"/>
  <c r="AO19" i="1"/>
  <c r="AM19" i="1"/>
  <c r="AK19" i="1"/>
  <c r="AY18" i="1"/>
  <c r="AW18" i="1"/>
  <c r="AU18" i="1"/>
  <c r="AS18" i="1"/>
  <c r="AQ18" i="1"/>
  <c r="AO18" i="1"/>
  <c r="AM18" i="1"/>
  <c r="AK18" i="1"/>
  <c r="AY17" i="1"/>
  <c r="AW17" i="1"/>
  <c r="AU17" i="1"/>
  <c r="AS17" i="1"/>
  <c r="AQ17" i="1"/>
  <c r="AO17" i="1"/>
  <c r="AM17" i="1"/>
  <c r="AK17" i="1"/>
  <c r="AY16" i="1"/>
  <c r="AW16" i="1"/>
  <c r="AU16" i="1"/>
  <c r="AS16" i="1"/>
  <c r="AQ16" i="1"/>
  <c r="AO16" i="1"/>
  <c r="AM16" i="1"/>
  <c r="AK16" i="1"/>
  <c r="AY15" i="1"/>
  <c r="AW15" i="1"/>
  <c r="AU15" i="1"/>
  <c r="AS15" i="1"/>
  <c r="AQ15" i="1"/>
  <c r="AO15" i="1"/>
  <c r="AM15" i="1"/>
  <c r="AK15" i="1"/>
  <c r="AY14" i="1"/>
  <c r="AW14" i="1"/>
  <c r="AU14" i="1"/>
  <c r="AS14" i="1"/>
  <c r="AQ14" i="1"/>
  <c r="AO14" i="1"/>
  <c r="AM14" i="1"/>
  <c r="AK14" i="1"/>
  <c r="AY13" i="1"/>
  <c r="AW13" i="1"/>
  <c r="AU13" i="1"/>
  <c r="AS13" i="1"/>
  <c r="AQ13" i="1"/>
  <c r="AO13" i="1"/>
  <c r="AM13" i="1"/>
  <c r="AK13" i="1"/>
  <c r="AY12" i="1"/>
  <c r="AW12" i="1"/>
  <c r="AU12" i="1"/>
  <c r="AS12" i="1"/>
  <c r="AQ12" i="1"/>
  <c r="AO12" i="1"/>
  <c r="AM12" i="1"/>
  <c r="AK12" i="1"/>
  <c r="AY11" i="1"/>
  <c r="AW11" i="1"/>
  <c r="AU11" i="1"/>
  <c r="AS11" i="1"/>
  <c r="AQ11" i="1"/>
  <c r="AO11" i="1"/>
  <c r="AM11" i="1"/>
  <c r="AK11" i="1"/>
  <c r="AY10" i="1"/>
  <c r="AW10" i="1"/>
  <c r="AU10" i="1"/>
  <c r="AS10" i="1"/>
  <c r="AQ10" i="1"/>
  <c r="AO10" i="1"/>
  <c r="AM10" i="1"/>
  <c r="AK10" i="1"/>
  <c r="AY9" i="1"/>
  <c r="AW9" i="1"/>
  <c r="AU9" i="1"/>
  <c r="AS9" i="1"/>
  <c r="AQ9" i="1"/>
  <c r="AO9" i="1"/>
  <c r="AM9" i="1"/>
  <c r="AK9" i="1"/>
  <c r="AY8" i="1"/>
  <c r="AW8" i="1"/>
  <c r="AU8" i="1"/>
  <c r="AS8" i="1"/>
  <c r="AQ8" i="1"/>
  <c r="AO8" i="1"/>
  <c r="AM8" i="1"/>
  <c r="AK8" i="1"/>
  <c r="AY7" i="1"/>
  <c r="AW7" i="1"/>
  <c r="AU7" i="1"/>
  <c r="AS7" i="1"/>
  <c r="AQ7" i="1"/>
  <c r="AO7" i="1"/>
  <c r="AM7" i="1"/>
  <c r="AK7" i="1"/>
  <c r="AY6" i="1"/>
  <c r="AW6" i="1"/>
  <c r="AU6" i="1"/>
  <c r="AS6" i="1"/>
  <c r="AQ6" i="1"/>
  <c r="AO6" i="1"/>
  <c r="AM6" i="1"/>
  <c r="AK6" i="1"/>
  <c r="AY5" i="1"/>
  <c r="AW5" i="1"/>
  <c r="AU5" i="1"/>
  <c r="AS5" i="1"/>
  <c r="AQ5" i="1"/>
  <c r="AO5" i="1"/>
  <c r="AM5" i="1"/>
  <c r="AK5" i="1"/>
  <c r="AY4" i="1"/>
  <c r="AW4" i="1"/>
  <c r="AU4" i="1"/>
  <c r="AS4" i="1"/>
  <c r="AQ4" i="1"/>
  <c r="AO4" i="1"/>
  <c r="AM4" i="1"/>
  <c r="AK4" i="1"/>
  <c r="AI62" i="1"/>
  <c r="AG62" i="1"/>
  <c r="AE62" i="1"/>
  <c r="AC62" i="1"/>
  <c r="AI61" i="1"/>
  <c r="AG61" i="1"/>
  <c r="AE61" i="1"/>
  <c r="AC61" i="1"/>
  <c r="AI60" i="1"/>
  <c r="AG60" i="1"/>
  <c r="AE60" i="1"/>
  <c r="AC60" i="1"/>
  <c r="AI59" i="1"/>
  <c r="AG59" i="1"/>
  <c r="AE59" i="1"/>
  <c r="AC59" i="1"/>
  <c r="AI58" i="1"/>
  <c r="AG58" i="1"/>
  <c r="AE58" i="1"/>
  <c r="AC58" i="1"/>
  <c r="AI56" i="1"/>
  <c r="AG56" i="1"/>
  <c r="AE56" i="1"/>
  <c r="AC56" i="1"/>
  <c r="AI55" i="1"/>
  <c r="AG55" i="1"/>
  <c r="AE55" i="1"/>
  <c r="AC55" i="1"/>
  <c r="AI53" i="1"/>
  <c r="AG53" i="1"/>
  <c r="AE53" i="1"/>
  <c r="AC53" i="1"/>
  <c r="AI52" i="1"/>
  <c r="AG52" i="1"/>
  <c r="AE52" i="1"/>
  <c r="AC52" i="1"/>
  <c r="AI51" i="1"/>
  <c r="AG51" i="1"/>
  <c r="AE51" i="1"/>
  <c r="AC51" i="1"/>
  <c r="AI50" i="1"/>
  <c r="AG50" i="1"/>
  <c r="AE50" i="1"/>
  <c r="AC50" i="1"/>
  <c r="AI49" i="1"/>
  <c r="AG49" i="1"/>
  <c r="AE49" i="1"/>
  <c r="AC49" i="1"/>
  <c r="AI48" i="1"/>
  <c r="AG48" i="1"/>
  <c r="AE48" i="1"/>
  <c r="AC48" i="1"/>
  <c r="AI47" i="1"/>
  <c r="AG47" i="1"/>
  <c r="AE47" i="1"/>
  <c r="AC47" i="1"/>
  <c r="AI45" i="1"/>
  <c r="AG45" i="1"/>
  <c r="AE45" i="1"/>
  <c r="AC45" i="1"/>
  <c r="AI44" i="1"/>
  <c r="AG44" i="1"/>
  <c r="AE44" i="1"/>
  <c r="AC44" i="1"/>
  <c r="AI43" i="1"/>
  <c r="AG43" i="1"/>
  <c r="AE43" i="1"/>
  <c r="AC43" i="1"/>
  <c r="AI42" i="1"/>
  <c r="AG42" i="1"/>
  <c r="AE42" i="1"/>
  <c r="AC42" i="1"/>
  <c r="AI41" i="1"/>
  <c r="AG41" i="1"/>
  <c r="AE41" i="1"/>
  <c r="AC41" i="1"/>
  <c r="AI40" i="1"/>
  <c r="AG40" i="1"/>
  <c r="AE40" i="1"/>
  <c r="AC40" i="1"/>
  <c r="AI39" i="1"/>
  <c r="AG39" i="1"/>
  <c r="AE39" i="1"/>
  <c r="AC39" i="1"/>
  <c r="AI38" i="1"/>
  <c r="AG38" i="1"/>
  <c r="AE38" i="1"/>
  <c r="AC38" i="1"/>
  <c r="AI37" i="1"/>
  <c r="AG37" i="1"/>
  <c r="AE37" i="1"/>
  <c r="AC37" i="1"/>
  <c r="AI36" i="1"/>
  <c r="AG36" i="1"/>
  <c r="AE36" i="1"/>
  <c r="AC36" i="1"/>
  <c r="AI35" i="1"/>
  <c r="AG35" i="1"/>
  <c r="AE35" i="1"/>
  <c r="AC35" i="1"/>
  <c r="AI34" i="1"/>
  <c r="AG34" i="1"/>
  <c r="AE34" i="1"/>
  <c r="AC34" i="1"/>
  <c r="AI33" i="1"/>
  <c r="AG33" i="1"/>
  <c r="AE33" i="1"/>
  <c r="AC33" i="1"/>
  <c r="AI32" i="1"/>
  <c r="AG32" i="1"/>
  <c r="AE32" i="1"/>
  <c r="AC32" i="1"/>
  <c r="AI31" i="1"/>
  <c r="AG31" i="1"/>
  <c r="AE31" i="1"/>
  <c r="AC31" i="1"/>
  <c r="AI30" i="1"/>
  <c r="AG30" i="1"/>
  <c r="AE30" i="1"/>
  <c r="AC30" i="1"/>
  <c r="AI29" i="1"/>
  <c r="AG29" i="1"/>
  <c r="AE29" i="1"/>
  <c r="AC29" i="1"/>
  <c r="AI28" i="1"/>
  <c r="AG28" i="1"/>
  <c r="AE28" i="1"/>
  <c r="AC28" i="1"/>
  <c r="AI25" i="1"/>
  <c r="AG25" i="1"/>
  <c r="AE25" i="1"/>
  <c r="AC25" i="1"/>
  <c r="AI20" i="1"/>
  <c r="AG20" i="1"/>
  <c r="AE20" i="1"/>
  <c r="AC20" i="1"/>
  <c r="AI19" i="1"/>
  <c r="AG19" i="1"/>
  <c r="AE19" i="1"/>
  <c r="AC19" i="1"/>
  <c r="AI18" i="1"/>
  <c r="AG18" i="1"/>
  <c r="AE18" i="1"/>
  <c r="AC18" i="1"/>
  <c r="AI17" i="1"/>
  <c r="AG17" i="1"/>
  <c r="AE17" i="1"/>
  <c r="AC17" i="1"/>
  <c r="AI16" i="1"/>
  <c r="AG16" i="1"/>
  <c r="AE16" i="1"/>
  <c r="AC16" i="1"/>
  <c r="AI15" i="1"/>
  <c r="AG15" i="1"/>
  <c r="AE15" i="1"/>
  <c r="AC15" i="1"/>
  <c r="AI14" i="1"/>
  <c r="AG14" i="1"/>
  <c r="AE14" i="1"/>
  <c r="AC14" i="1"/>
  <c r="AI13" i="1"/>
  <c r="AG13" i="1"/>
  <c r="AE13" i="1"/>
  <c r="AC13" i="1"/>
  <c r="AI12" i="1"/>
  <c r="AG12" i="1"/>
  <c r="AE12" i="1"/>
  <c r="AC12" i="1"/>
  <c r="AI11" i="1"/>
  <c r="AG11" i="1"/>
  <c r="AE11" i="1"/>
  <c r="AC11" i="1"/>
  <c r="AI10" i="1"/>
  <c r="AG10" i="1"/>
  <c r="AE10" i="1"/>
  <c r="AC10" i="1"/>
  <c r="AI9" i="1"/>
  <c r="AG9" i="1"/>
  <c r="AE9" i="1"/>
  <c r="AC9" i="1"/>
  <c r="AI8" i="1"/>
  <c r="AG8" i="1"/>
  <c r="AE8" i="1"/>
  <c r="AC8" i="1"/>
  <c r="AI7" i="1"/>
  <c r="AG7" i="1"/>
  <c r="AE7" i="1"/>
  <c r="AC7" i="1"/>
  <c r="AI6" i="1"/>
  <c r="AG6" i="1"/>
  <c r="AE6" i="1"/>
  <c r="AC6" i="1"/>
  <c r="AI5" i="1"/>
  <c r="AG5" i="1"/>
  <c r="AE5" i="1"/>
  <c r="AC5" i="1"/>
  <c r="AI4" i="1"/>
  <c r="AG4" i="1"/>
  <c r="AE4" i="1"/>
  <c r="AC4" i="1"/>
  <c r="AA62" i="1"/>
  <c r="Y62" i="1"/>
  <c r="AA61" i="1"/>
  <c r="Y61" i="1"/>
  <c r="AA60" i="1"/>
  <c r="Y60" i="1"/>
  <c r="AA59" i="1"/>
  <c r="Y59" i="1"/>
  <c r="AA58" i="1"/>
  <c r="Y58" i="1"/>
  <c r="AA56" i="1"/>
  <c r="Y56" i="1"/>
  <c r="AA55" i="1"/>
  <c r="Y55" i="1"/>
  <c r="AA53" i="1"/>
  <c r="Y53" i="1"/>
  <c r="AA52" i="1"/>
  <c r="Y52" i="1"/>
  <c r="AA51" i="1"/>
  <c r="Y51" i="1"/>
  <c r="AA50" i="1"/>
  <c r="Y50" i="1"/>
  <c r="AA49" i="1"/>
  <c r="Y49" i="1"/>
  <c r="AA48" i="1"/>
  <c r="Y48" i="1"/>
  <c r="AA47" i="1"/>
  <c r="Y47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4" i="1"/>
  <c r="Y34" i="1"/>
  <c r="AA33" i="1"/>
  <c r="Y33" i="1"/>
  <c r="AA32" i="1"/>
  <c r="Y32" i="1"/>
  <c r="AA31" i="1"/>
  <c r="Y31" i="1"/>
  <c r="AA30" i="1"/>
  <c r="Y30" i="1"/>
  <c r="AA29" i="1"/>
  <c r="Y29" i="1"/>
  <c r="AA28" i="1"/>
  <c r="Y28" i="1"/>
  <c r="AA25" i="1"/>
  <c r="Y25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AA9" i="1"/>
  <c r="Y9" i="1"/>
  <c r="AA8" i="1"/>
  <c r="Y8" i="1"/>
  <c r="AA7" i="1"/>
  <c r="Y7" i="1"/>
  <c r="AA6" i="1"/>
  <c r="Y6" i="1"/>
  <c r="AA5" i="1"/>
  <c r="Y5" i="1"/>
  <c r="AA4" i="1"/>
  <c r="Y4" i="1"/>
  <c r="W62" i="1"/>
  <c r="W61" i="1"/>
  <c r="W60" i="1"/>
  <c r="W59" i="1"/>
  <c r="W58" i="1"/>
  <c r="W56" i="1"/>
  <c r="W55" i="1"/>
  <c r="W53" i="1"/>
  <c r="W52" i="1"/>
  <c r="W51" i="1"/>
  <c r="W50" i="1"/>
  <c r="W49" i="1"/>
  <c r="W48" i="1"/>
  <c r="W47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5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U62" i="1"/>
  <c r="U61" i="1"/>
  <c r="U60" i="1"/>
  <c r="U59" i="1"/>
  <c r="U58" i="1"/>
  <c r="U56" i="1"/>
  <c r="U55" i="1"/>
  <c r="U53" i="1"/>
  <c r="U52" i="1"/>
  <c r="U51" i="1"/>
  <c r="U50" i="1"/>
  <c r="U49" i="1"/>
  <c r="U48" i="1"/>
  <c r="U47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5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S62" i="1"/>
  <c r="S61" i="1"/>
  <c r="S60" i="1"/>
  <c r="S59" i="1"/>
  <c r="S58" i="1"/>
  <c r="S56" i="1"/>
  <c r="S55" i="1"/>
  <c r="S53" i="1"/>
  <c r="S52" i="1"/>
  <c r="S51" i="1"/>
  <c r="S50" i="1"/>
  <c r="S49" i="1"/>
  <c r="S48" i="1"/>
  <c r="S47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5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Q62" i="1"/>
  <c r="Q61" i="1"/>
  <c r="Q60" i="1"/>
  <c r="Q59" i="1"/>
  <c r="Q58" i="1"/>
  <c r="Q56" i="1"/>
  <c r="Q55" i="1"/>
  <c r="Q53" i="1"/>
  <c r="Q52" i="1"/>
  <c r="Q51" i="1"/>
  <c r="Q50" i="1"/>
  <c r="Q49" i="1"/>
  <c r="Q48" i="1"/>
  <c r="Q47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5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O62" i="1"/>
  <c r="O61" i="1"/>
  <c r="O60" i="1"/>
  <c r="O59" i="1"/>
  <c r="O58" i="1"/>
  <c r="O56" i="1"/>
  <c r="O55" i="1"/>
  <c r="O53" i="1"/>
  <c r="O52" i="1"/>
  <c r="O51" i="1"/>
  <c r="O50" i="1"/>
  <c r="O49" i="1"/>
  <c r="O48" i="1"/>
  <c r="O47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5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62" i="1"/>
  <c r="M61" i="1"/>
  <c r="M60" i="1"/>
  <c r="M59" i="1"/>
  <c r="M58" i="1"/>
  <c r="M56" i="1"/>
  <c r="M55" i="1"/>
  <c r="M53" i="1"/>
  <c r="M52" i="1"/>
  <c r="M51" i="1"/>
  <c r="M50" i="1"/>
  <c r="M49" i="1"/>
  <c r="M48" i="1"/>
  <c r="M47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5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K62" i="1"/>
  <c r="K61" i="1"/>
  <c r="K60" i="1"/>
  <c r="K59" i="1"/>
  <c r="K58" i="1"/>
  <c r="K56" i="1"/>
  <c r="K55" i="1"/>
  <c r="K53" i="1"/>
  <c r="K52" i="1"/>
  <c r="K51" i="1"/>
  <c r="K50" i="1"/>
  <c r="K49" i="1"/>
  <c r="K48" i="1"/>
  <c r="K47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5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I62" i="1"/>
  <c r="I61" i="1"/>
  <c r="I60" i="1"/>
  <c r="I59" i="1"/>
  <c r="I58" i="1"/>
  <c r="I56" i="1"/>
  <c r="I55" i="1"/>
  <c r="I53" i="1"/>
  <c r="I52" i="1"/>
  <c r="I51" i="1"/>
  <c r="I50" i="1"/>
  <c r="I49" i="1"/>
  <c r="I48" i="1"/>
  <c r="I47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L64" i="1"/>
  <c r="J64" i="1"/>
  <c r="AO65" i="1" l="1"/>
  <c r="AO66" i="1" s="1"/>
  <c r="AO67" i="1" s="1"/>
  <c r="AS65" i="1"/>
  <c r="AS66" i="1" s="1"/>
  <c r="AS67" i="1" s="1"/>
  <c r="AK65" i="1"/>
  <c r="AK66" i="1" s="1"/>
  <c r="AU65" i="1"/>
  <c r="AU66" i="1" s="1"/>
  <c r="AU67" i="1" s="1"/>
  <c r="AW65" i="1"/>
  <c r="AW66" i="1" s="1"/>
  <c r="AW67" i="1" s="1"/>
  <c r="AI65" i="1"/>
  <c r="AI66" i="1" s="1"/>
  <c r="AI67" i="1" s="1"/>
  <c r="AM65" i="1"/>
  <c r="AM66" i="1" s="1"/>
  <c r="AM67" i="1" s="1"/>
  <c r="AY65" i="1"/>
  <c r="AY66" i="1" s="1"/>
  <c r="AY67" i="1" s="1"/>
  <c r="AQ65" i="1"/>
  <c r="AZ65" i="1"/>
  <c r="AZ67" i="1" s="1"/>
  <c r="BA65" i="1"/>
  <c r="BA67" i="1" s="1"/>
  <c r="Y65" i="1"/>
  <c r="Y66" i="1" s="1"/>
  <c r="Y67" i="1" s="1"/>
  <c r="AC65" i="1"/>
  <c r="AC66" i="1" s="1"/>
  <c r="AC67" i="1" s="1"/>
  <c r="AE65" i="1"/>
  <c r="AE66" i="1" s="1"/>
  <c r="AE67" i="1" s="1"/>
  <c r="AG65" i="1"/>
  <c r="AG66" i="1" s="1"/>
  <c r="AG67" i="1" s="1"/>
  <c r="AA65" i="1"/>
  <c r="AA66" i="1" s="1"/>
  <c r="AA67" i="1" s="1"/>
  <c r="W65" i="1"/>
  <c r="W66" i="1" s="1"/>
  <c r="W67" i="1" s="1"/>
  <c r="U65" i="1"/>
  <c r="U66" i="1" s="1"/>
  <c r="U67" i="1" s="1"/>
  <c r="S65" i="1"/>
  <c r="S66" i="1" s="1"/>
  <c r="S67" i="1" s="1"/>
  <c r="Q65" i="1"/>
  <c r="Q66" i="1" s="1"/>
  <c r="Q67" i="1" s="1"/>
  <c r="O65" i="1"/>
  <c r="O66" i="1" s="1"/>
  <c r="O67" i="1" s="1"/>
  <c r="K65" i="1"/>
  <c r="K66" i="1" s="1"/>
  <c r="K67" i="1" s="1"/>
  <c r="M65" i="1"/>
  <c r="M66" i="1" s="1"/>
  <c r="M67" i="1" s="1"/>
  <c r="I65" i="1"/>
  <c r="H64" i="1"/>
  <c r="AK67" i="1" l="1"/>
  <c r="AQ66" i="1"/>
  <c r="AQ67" i="1" s="1"/>
  <c r="I66" i="1"/>
  <c r="I67" i="1" s="1"/>
  <c r="J75" i="1" l="1"/>
</calcChain>
</file>

<file path=xl/sharedStrings.xml><?xml version="1.0" encoding="utf-8"?>
<sst xmlns="http://schemas.openxmlformats.org/spreadsheetml/2006/main" count="169" uniqueCount="86">
  <si>
    <t>Cachaça de Banana</t>
  </si>
  <si>
    <t>Sem controle</t>
  </si>
  <si>
    <t>Ativo</t>
  </si>
  <si>
    <t>Cachaça Matuta Black Blend</t>
  </si>
  <si>
    <t>Cachaça Matuta Cristal</t>
  </si>
  <si>
    <t>Cachaça Matuta Umburana</t>
  </si>
  <si>
    <t>Campari</t>
  </si>
  <si>
    <t>Água Mineral</t>
  </si>
  <si>
    <t>Água Mineral com gás</t>
  </si>
  <si>
    <t>Água Tônica Schweppes</t>
  </si>
  <si>
    <t>Cola Cola Lata</t>
  </si>
  <si>
    <t>Red Bull Cereja</t>
  </si>
  <si>
    <t>Cerveja Budweiser</t>
  </si>
  <si>
    <t>Cerveja Heineken</t>
  </si>
  <si>
    <t>Vodka Absolut</t>
  </si>
  <si>
    <t>Vodka Smirnoff</t>
  </si>
  <si>
    <t>Caldinho de Feijão</t>
  </si>
  <si>
    <t>Unha de Carangueijo (05 unidades)</t>
  </si>
  <si>
    <t>Espumante Brut Espanhol</t>
  </si>
  <si>
    <t>Regular</t>
  </si>
  <si>
    <t>Pausado</t>
  </si>
  <si>
    <t>Abaixo do mínimo</t>
  </si>
  <si>
    <t>Insuficiente / negativo</t>
  </si>
  <si>
    <t>APERITIVOS</t>
  </si>
  <si>
    <t>CERVEJAS LONG NECK</t>
  </si>
  <si>
    <t>DESTILADOS</t>
  </si>
  <si>
    <t>ESPUMANTE &amp; VINHO</t>
  </si>
  <si>
    <t>BEBIDAS SEM ALCOOL</t>
  </si>
  <si>
    <t>Vinho Tinto (Diversos)</t>
  </si>
  <si>
    <t>Red Bull</t>
  </si>
  <si>
    <t>Coca Cola Zero Lata</t>
  </si>
  <si>
    <t>Gin Beefeater</t>
  </si>
  <si>
    <t>Gin Gordon´s</t>
  </si>
  <si>
    <t>Gin Tanqueray</t>
  </si>
  <si>
    <t>Whisky Red Label 8 anos</t>
  </si>
  <si>
    <t>Whisky Chivas 12 anos</t>
  </si>
  <si>
    <t>Caldinho de Camarão</t>
  </si>
  <si>
    <t>Espetinho de Frango c/ Vinagrete de Feijão Verde e Farofa</t>
  </si>
  <si>
    <t>Espetinho de Suino c/ Vinagrete de Feijão Verde e Farofa</t>
  </si>
  <si>
    <t>Carne de Sol em Cubos na Manteiga de Garrafa</t>
  </si>
  <si>
    <t>Courvet Artistico R$ 20,00</t>
  </si>
  <si>
    <t>Cobramos 10% como taxa de serviço</t>
  </si>
  <si>
    <t>Guarana Antártica Lata</t>
  </si>
  <si>
    <t>Fanta Laranja Lata</t>
  </si>
  <si>
    <t>Bolinho de Bacalhau (06 unidades)</t>
  </si>
  <si>
    <t>Casquinho de Carangueijo c/ Farofa</t>
  </si>
  <si>
    <t>Escondidinho de Carne de Sol</t>
  </si>
  <si>
    <t>Lagarto ao molho Madeira c/ arroz e fritas</t>
  </si>
  <si>
    <t>PIX (CPF) 428.255.047-34</t>
  </si>
  <si>
    <t>Rede WI-FI: Clientes Le Clair    Senha: @Clientes2026</t>
  </si>
  <si>
    <t>Pastel de Camarão c/ queijo (06 unidades)</t>
  </si>
  <si>
    <t>Vinho Branco (Diversos)</t>
  </si>
  <si>
    <t>01</t>
  </si>
  <si>
    <t>02</t>
  </si>
  <si>
    <t>04</t>
  </si>
  <si>
    <t>Carne de Sol Defumada c/farofa e macaxeira</t>
  </si>
  <si>
    <t>Vinho Rose (Diversos)</t>
  </si>
  <si>
    <t>09</t>
  </si>
  <si>
    <t>05</t>
  </si>
  <si>
    <t>Risoles de Camarão (06 unidades)</t>
  </si>
  <si>
    <t>Frango a Passarinho</t>
  </si>
  <si>
    <t>Croquete de Macaxeira c/ Carne de Sol</t>
  </si>
  <si>
    <t>Camarão Frito c/ Arroz e Farofa</t>
  </si>
  <si>
    <t>Macaxeira Frita c/ Queijo Parmesão</t>
  </si>
  <si>
    <t>07</t>
  </si>
  <si>
    <t>TOTAL</t>
  </si>
  <si>
    <t>Polenta Frita c/ Queijo Parmesão</t>
  </si>
  <si>
    <t>CÓD</t>
  </si>
  <si>
    <t>R$</t>
  </si>
  <si>
    <t>Whisky Old Parr 12 anos</t>
  </si>
  <si>
    <t>PETISCOS (Produção Própria)</t>
  </si>
  <si>
    <t>Pratinho de Vatapá de Frango c/ Arroz, Paçoca e Calabresa</t>
  </si>
  <si>
    <t>Coxinha c/ Massa de Macaxeira (08 unidades)</t>
  </si>
  <si>
    <t>Dadinho de Tapioca c/ Geléia de Pimenta (08 unidades)</t>
  </si>
  <si>
    <t>Kibe (06 unidades)</t>
  </si>
  <si>
    <t>Cerveja Budweiser ZERO</t>
  </si>
  <si>
    <t>Camarão Empanado (08 unidades)</t>
  </si>
  <si>
    <t>ITENS</t>
  </si>
  <si>
    <t>Pastel de Carne Moida (06 unidades)</t>
  </si>
  <si>
    <t>Rolha - Espumante &amp; Vinhos</t>
  </si>
  <si>
    <t>Rolha - Destilados</t>
  </si>
  <si>
    <t>IMP</t>
  </si>
  <si>
    <t>S</t>
  </si>
  <si>
    <t>N</t>
  </si>
  <si>
    <t>CARDÁPIO 28/07/2026</t>
  </si>
  <si>
    <t>PIX (CNPJ) 64.111.665/0001-55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</si>
</sst>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8.25"/>
      <color rgb="FF4169E1"/>
      <name val="Calibri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rgb="FF4169E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rgb="FF4169E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4169E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4" fontId="1" fillId="0" borderId="0" xfId="0" applyNumberFormat="1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0" fillId="0" borderId="0" xfId="0" applyNumberForma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4" fontId="5" fillId="0" borderId="6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4" fontId="5" fillId="0" borderId="29" xfId="0" applyNumberFormat="1" applyFont="1" applyBorder="1" applyAlignment="1">
      <alignment horizontal="center" vertical="center"/>
    </xf>
    <xf numFmtId="1" fontId="6" fillId="0" borderId="20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4" fontId="8" fillId="0" borderId="22" xfId="0" applyNumberFormat="1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4" fontId="8" fillId="0" borderId="0" xfId="0" applyNumberFormat="1" applyFont="1" applyAlignment="1">
      <alignment horizontal="center" vertical="center"/>
    </xf>
    <xf numFmtId="1" fontId="9" fillId="0" borderId="19" xfId="0" applyNumberFormat="1" applyFont="1" applyBorder="1" applyAlignment="1">
      <alignment horizontal="center" vertical="center"/>
    </xf>
    <xf numFmtId="0" fontId="9" fillId="0" borderId="23" xfId="0" applyFont="1" applyBorder="1" applyAlignment="1">
      <alignment vertical="center"/>
    </xf>
    <xf numFmtId="4" fontId="10" fillId="0" borderId="24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4" fontId="10" fillId="0" borderId="6" xfId="0" applyNumberFormat="1" applyFont="1" applyBorder="1" applyAlignment="1">
      <alignment horizontal="center" vertical="center"/>
    </xf>
    <xf numFmtId="1" fontId="9" fillId="0" borderId="28" xfId="0" applyNumberFormat="1" applyFont="1" applyBorder="1" applyAlignment="1">
      <alignment horizontal="center" vertical="center"/>
    </xf>
    <xf numFmtId="0" fontId="9" fillId="0" borderId="18" xfId="0" applyFont="1" applyBorder="1" applyAlignment="1">
      <alignment vertical="center"/>
    </xf>
    <xf numFmtId="4" fontId="10" fillId="0" borderId="29" xfId="0" applyNumberFormat="1" applyFont="1" applyBorder="1" applyAlignment="1">
      <alignment horizontal="center" vertical="center"/>
    </xf>
    <xf numFmtId="0" fontId="9" fillId="2" borderId="25" xfId="0" applyFont="1" applyFill="1" applyBorder="1" applyAlignment="1">
      <alignment horizontal="center" vertical="center"/>
    </xf>
    <xf numFmtId="0" fontId="11" fillId="2" borderId="26" xfId="0" applyFont="1" applyFill="1" applyBorder="1" applyAlignment="1">
      <alignment horizontal="center" vertical="center"/>
    </xf>
    <xf numFmtId="0" fontId="9" fillId="2" borderId="27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0" fillId="0" borderId="18" xfId="0" applyBorder="1"/>
    <xf numFmtId="4" fontId="0" fillId="0" borderId="18" xfId="0" applyNumberFormat="1" applyBorder="1"/>
    <xf numFmtId="3" fontId="0" fillId="0" borderId="18" xfId="0" applyNumberFormat="1" applyBorder="1"/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3" fontId="12" fillId="8" borderId="18" xfId="0" applyNumberFormat="1" applyFont="1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2" xfId="0" applyBorder="1"/>
    <xf numFmtId="0" fontId="0" fillId="0" borderId="28" xfId="0" applyBorder="1" applyAlignment="1">
      <alignment horizontal="center"/>
    </xf>
    <xf numFmtId="0" fontId="0" fillId="0" borderId="29" xfId="0" applyBorder="1"/>
    <xf numFmtId="3" fontId="0" fillId="0" borderId="28" xfId="0" applyNumberFormat="1" applyBorder="1" applyAlignment="1">
      <alignment horizontal="center"/>
    </xf>
    <xf numFmtId="4" fontId="0" fillId="0" borderId="29" xfId="0" applyNumberFormat="1" applyBorder="1"/>
    <xf numFmtId="4" fontId="0" fillId="0" borderId="28" xfId="0" applyNumberFormat="1" applyBorder="1" applyAlignment="1">
      <alignment horizontal="center"/>
    </xf>
    <xf numFmtId="4" fontId="0" fillId="0" borderId="32" xfId="0" applyNumberFormat="1" applyBorder="1" applyAlignment="1">
      <alignment horizontal="center"/>
    </xf>
    <xf numFmtId="0" fontId="0" fillId="0" borderId="30" xfId="0" applyBorder="1"/>
    <xf numFmtId="3" fontId="0" fillId="0" borderId="30" xfId="0" applyNumberFormat="1" applyBorder="1"/>
    <xf numFmtId="3" fontId="0" fillId="0" borderId="28" xfId="0" quotePrefix="1" applyNumberFormat="1" applyBorder="1" applyAlignment="1">
      <alignment horizontal="center"/>
    </xf>
    <xf numFmtId="0" fontId="0" fillId="0" borderId="28" xfId="0" applyBorder="1"/>
    <xf numFmtId="3" fontId="0" fillId="0" borderId="28" xfId="0" applyNumberFormat="1" applyBorder="1"/>
    <xf numFmtId="3" fontId="0" fillId="5" borderId="28" xfId="0" applyNumberFormat="1" applyFill="1" applyBorder="1" applyAlignment="1">
      <alignment horizontal="center"/>
    </xf>
    <xf numFmtId="0" fontId="3" fillId="4" borderId="18" xfId="0" applyFont="1" applyFill="1" applyBorder="1" applyAlignment="1">
      <alignment horizontal="center" vertical="center"/>
    </xf>
    <xf numFmtId="3" fontId="11" fillId="8" borderId="28" xfId="0" applyNumberFormat="1" applyFont="1" applyFill="1" applyBorder="1" applyAlignment="1">
      <alignment horizontal="center"/>
    </xf>
    <xf numFmtId="4" fontId="11" fillId="8" borderId="29" xfId="0" applyNumberFormat="1" applyFont="1" applyFill="1" applyBorder="1"/>
    <xf numFmtId="3" fontId="11" fillId="8" borderId="30" xfId="0" applyNumberFormat="1" applyFont="1" applyFill="1" applyBorder="1" applyAlignment="1">
      <alignment horizontal="center"/>
    </xf>
    <xf numFmtId="4" fontId="11" fillId="8" borderId="18" xfId="0" applyNumberFormat="1" applyFont="1" applyFill="1" applyBorder="1"/>
    <xf numFmtId="3" fontId="11" fillId="8" borderId="18" xfId="0" applyNumberFormat="1" applyFont="1" applyFill="1" applyBorder="1" applyAlignment="1">
      <alignment horizontal="center"/>
    </xf>
    <xf numFmtId="0" fontId="9" fillId="0" borderId="0" xfId="0" applyFont="1"/>
    <xf numFmtId="0" fontId="9" fillId="0" borderId="28" xfId="0" applyFont="1" applyBorder="1" applyAlignment="1">
      <alignment horizontal="center"/>
    </xf>
    <xf numFmtId="2" fontId="9" fillId="0" borderId="29" xfId="0" applyNumberFormat="1" applyFont="1" applyBorder="1"/>
    <xf numFmtId="4" fontId="9" fillId="0" borderId="28" xfId="0" applyNumberFormat="1" applyFont="1" applyBorder="1" applyAlignment="1">
      <alignment horizontal="center"/>
    </xf>
    <xf numFmtId="0" fontId="9" fillId="0" borderId="28" xfId="0" applyFont="1" applyBorder="1"/>
    <xf numFmtId="0" fontId="9" fillId="0" borderId="30" xfId="0" applyFont="1" applyBorder="1"/>
    <xf numFmtId="2" fontId="9" fillId="0" borderId="18" xfId="0" applyNumberFormat="1" applyFont="1" applyBorder="1"/>
    <xf numFmtId="0" fontId="9" fillId="0" borderId="18" xfId="0" applyFont="1" applyBorder="1"/>
    <xf numFmtId="0" fontId="11" fillId="7" borderId="35" xfId="0" applyFont="1" applyFill="1" applyBorder="1" applyAlignment="1">
      <alignment horizontal="center"/>
    </xf>
    <xf numFmtId="4" fontId="11" fillId="7" borderId="36" xfId="0" applyNumberFormat="1" applyFont="1" applyFill="1" applyBorder="1"/>
    <xf numFmtId="4" fontId="11" fillId="7" borderId="35" xfId="0" applyNumberFormat="1" applyFont="1" applyFill="1" applyBorder="1" applyAlignment="1">
      <alignment horizontal="center"/>
    </xf>
    <xf numFmtId="0" fontId="11" fillId="2" borderId="35" xfId="0" applyFont="1" applyFill="1" applyBorder="1" applyAlignment="1">
      <alignment horizontal="center"/>
    </xf>
    <xf numFmtId="4" fontId="11" fillId="2" borderId="36" xfId="0" applyNumberFormat="1" applyFont="1" applyFill="1" applyBorder="1"/>
    <xf numFmtId="0" fontId="11" fillId="2" borderId="35" xfId="0" applyFont="1" applyFill="1" applyBorder="1"/>
    <xf numFmtId="0" fontId="11" fillId="7" borderId="35" xfId="0" applyFont="1" applyFill="1" applyBorder="1"/>
    <xf numFmtId="0" fontId="11" fillId="7" borderId="30" xfId="0" applyFont="1" applyFill="1" applyBorder="1"/>
    <xf numFmtId="4" fontId="11" fillId="7" borderId="18" xfId="0" applyNumberFormat="1" applyFont="1" applyFill="1" applyBorder="1"/>
    <xf numFmtId="0" fontId="11" fillId="7" borderId="18" xfId="0" applyFont="1" applyFill="1" applyBorder="1"/>
    <xf numFmtId="1" fontId="9" fillId="3" borderId="5" xfId="0" applyNumberFormat="1" applyFont="1" applyFill="1" applyBorder="1" applyAlignment="1">
      <alignment horizontal="center" vertical="center"/>
    </xf>
    <xf numFmtId="1" fontId="2" fillId="4" borderId="10" xfId="0" applyNumberFormat="1" applyFont="1" applyFill="1" applyBorder="1" applyAlignment="1">
      <alignment horizontal="center" vertical="center"/>
    </xf>
    <xf numFmtId="1" fontId="2" fillId="4" borderId="11" xfId="0" applyNumberFormat="1" applyFont="1" applyFill="1" applyBorder="1" applyAlignment="1">
      <alignment horizontal="center" vertical="center"/>
    </xf>
    <xf numFmtId="1" fontId="2" fillId="4" borderId="12" xfId="0" applyNumberFormat="1" applyFont="1" applyFill="1" applyBorder="1" applyAlignment="1">
      <alignment horizontal="center" vertical="center"/>
    </xf>
    <xf numFmtId="1" fontId="11" fillId="4" borderId="10" xfId="0" applyNumberFormat="1" applyFont="1" applyFill="1" applyBorder="1" applyAlignment="1">
      <alignment horizontal="center" vertical="center"/>
    </xf>
    <xf numFmtId="1" fontId="11" fillId="4" borderId="11" xfId="0" applyNumberFormat="1" applyFont="1" applyFill="1" applyBorder="1" applyAlignment="1">
      <alignment horizontal="center" vertical="center"/>
    </xf>
    <xf numFmtId="1" fontId="11" fillId="4" borderId="12" xfId="0" applyNumberFormat="1" applyFont="1" applyFill="1" applyBorder="1" applyAlignment="1">
      <alignment horizontal="center" vertical="center"/>
    </xf>
    <xf numFmtId="1" fontId="11" fillId="6" borderId="16" xfId="0" applyNumberFormat="1" applyFont="1" applyFill="1" applyBorder="1" applyAlignment="1">
      <alignment horizontal="center" vertical="center"/>
    </xf>
    <xf numFmtId="1" fontId="11" fillId="6" borderId="0" xfId="0" applyNumberFormat="1" applyFont="1" applyFill="1" applyAlignment="1">
      <alignment horizontal="center" vertical="center"/>
    </xf>
    <xf numFmtId="1" fontId="11" fillId="6" borderId="17" xfId="0" applyNumberFormat="1" applyFont="1" applyFill="1" applyBorder="1" applyAlignment="1">
      <alignment horizontal="center" vertical="center"/>
    </xf>
    <xf numFmtId="1" fontId="11" fillId="4" borderId="13" xfId="0" applyNumberFormat="1" applyFont="1" applyFill="1" applyBorder="1" applyAlignment="1">
      <alignment horizontal="center" vertical="center"/>
    </xf>
    <xf numFmtId="1" fontId="11" fillId="4" borderId="14" xfId="0" applyNumberFormat="1" applyFont="1" applyFill="1" applyBorder="1" applyAlignment="1">
      <alignment horizontal="center" vertical="center"/>
    </xf>
    <xf numFmtId="1" fontId="11" fillId="4" borderId="15" xfId="0" applyNumberFormat="1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49" fontId="3" fillId="3" borderId="33" xfId="0" applyNumberFormat="1" applyFont="1" applyFill="1" applyBorder="1" applyAlignment="1">
      <alignment horizontal="center" vertical="center"/>
    </xf>
    <xf numFmtId="49" fontId="3" fillId="3" borderId="34" xfId="0" applyNumberFormat="1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9" fillId="0" borderId="26" xfId="0" applyFont="1" applyBorder="1" applyAlignment="1">
      <alignment vertical="center"/>
    </xf>
    <xf numFmtId="4" fontId="10" fillId="0" borderId="27" xfId="0" applyNumberFormat="1" applyFont="1" applyBorder="1" applyAlignment="1">
      <alignment horizontal="center" vertical="center"/>
    </xf>
    <xf numFmtId="1" fontId="9" fillId="3" borderId="25" xfId="0" applyNumberFormat="1" applyFont="1" applyFill="1" applyBorder="1" applyAlignment="1">
      <alignment horizontal="center" vertical="center"/>
    </xf>
    <xf numFmtId="4" fontId="5" fillId="0" borderId="27" xfId="0" applyNumberFormat="1" applyFont="1" applyBorder="1" applyAlignment="1">
      <alignment horizontal="center" vertical="center"/>
    </xf>
    <xf numFmtId="1" fontId="9" fillId="3" borderId="19" xfId="0" applyNumberFormat="1" applyFont="1" applyFill="1" applyBorder="1" applyAlignment="1">
      <alignment horizontal="center" vertical="center"/>
    </xf>
    <xf numFmtId="1" fontId="9" fillId="3" borderId="38" xfId="0" applyNumberFormat="1" applyFont="1" applyFill="1" applyBorder="1" applyAlignment="1">
      <alignment horizontal="center" vertical="center"/>
    </xf>
    <xf numFmtId="0" fontId="9" fillId="0" borderId="39" xfId="0" applyFont="1" applyBorder="1" applyAlignment="1">
      <alignment vertical="center"/>
    </xf>
    <xf numFmtId="4" fontId="10" fillId="0" borderId="40" xfId="0" applyNumberFormat="1" applyFont="1" applyBorder="1" applyAlignment="1">
      <alignment horizontal="center" vertical="center"/>
    </xf>
    <xf numFmtId="4" fontId="5" fillId="0" borderId="24" xfId="0" applyNumberFormat="1" applyFont="1" applyBorder="1" applyAlignment="1">
      <alignment horizontal="center" vertical="center"/>
    </xf>
    <xf numFmtId="1" fontId="2" fillId="4" borderId="16" xfId="0" applyNumberFormat="1" applyFont="1" applyFill="1" applyBorder="1" applyAlignment="1">
      <alignment horizontal="center" vertical="center"/>
    </xf>
    <xf numFmtId="1" fontId="2" fillId="4" borderId="0" xfId="0" applyNumberFormat="1" applyFont="1" applyFill="1" applyBorder="1" applyAlignment="1">
      <alignment horizontal="center" vertical="center"/>
    </xf>
    <xf numFmtId="1" fontId="2" fillId="4" borderId="17" xfId="0" applyNumberFormat="1" applyFont="1" applyFill="1" applyBorder="1" applyAlignment="1">
      <alignment horizontal="center" vertical="center"/>
    </xf>
    <xf numFmtId="0" fontId="9" fillId="0" borderId="8" xfId="0" applyFont="1" applyBorder="1" applyAlignment="1">
      <alignment vertical="center"/>
    </xf>
    <xf numFmtId="1" fontId="11" fillId="4" borderId="45" xfId="0" applyNumberFormat="1" applyFont="1" applyFill="1" applyBorder="1" applyAlignment="1">
      <alignment horizontal="center" vertical="center"/>
    </xf>
    <xf numFmtId="1" fontId="11" fillId="4" borderId="46" xfId="0" applyNumberFormat="1" applyFont="1" applyFill="1" applyBorder="1" applyAlignment="1">
      <alignment horizontal="center" vertical="center"/>
    </xf>
    <xf numFmtId="1" fontId="11" fillId="4" borderId="47" xfId="0" applyNumberFormat="1" applyFont="1" applyFill="1" applyBorder="1" applyAlignment="1">
      <alignment horizontal="center" vertical="center"/>
    </xf>
    <xf numFmtId="4" fontId="5" fillId="0" borderId="9" xfId="0" applyNumberFormat="1" applyFont="1" applyBorder="1" applyAlignment="1">
      <alignment horizontal="center" vertical="center"/>
    </xf>
    <xf numFmtId="1" fontId="4" fillId="0" borderId="28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1" fontId="4" fillId="0" borderId="35" xfId="0" applyNumberFormat="1" applyFont="1" applyBorder="1" applyAlignment="1">
      <alignment horizontal="center" vertical="center"/>
    </xf>
    <xf numFmtId="0" fontId="4" fillId="0" borderId="44" xfId="0" applyFont="1" applyBorder="1" applyAlignment="1">
      <alignment vertical="center"/>
    </xf>
    <xf numFmtId="4" fontId="5" fillId="0" borderId="36" xfId="0" applyNumberFormat="1" applyFont="1" applyBorder="1" applyAlignment="1">
      <alignment horizontal="center" vertical="center"/>
    </xf>
    <xf numFmtId="1" fontId="9" fillId="0" borderId="48" xfId="0" applyNumberFormat="1" applyFont="1" applyBorder="1" applyAlignment="1">
      <alignment horizontal="center" vertical="center"/>
    </xf>
    <xf numFmtId="1" fontId="4" fillId="0" borderId="19" xfId="0" applyNumberFormat="1" applyFont="1" applyBorder="1" applyAlignment="1">
      <alignment horizontal="center" vertical="center"/>
    </xf>
    <xf numFmtId="0" fontId="4" fillId="0" borderId="23" xfId="0" applyFont="1" applyBorder="1" applyAlignment="1">
      <alignment vertical="center"/>
    </xf>
    <xf numFmtId="0" fontId="9" fillId="2" borderId="48" xfId="0" applyFont="1" applyFill="1" applyBorder="1" applyAlignment="1">
      <alignment horizontal="center" vertical="center"/>
    </xf>
    <xf numFmtId="1" fontId="9" fillId="0" borderId="30" xfId="0" applyNumberFormat="1" applyFont="1" applyBorder="1" applyAlignment="1">
      <alignment horizontal="center" vertical="center"/>
    </xf>
    <xf numFmtId="1" fontId="4" fillId="0" borderId="25" xfId="0" applyNumberFormat="1" applyFont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9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center" vertical="center"/>
    </xf>
    <xf numFmtId="1" fontId="4" fillId="0" borderId="49" xfId="0" applyNumberFormat="1" applyFont="1" applyBorder="1" applyAlignment="1">
      <alignment horizontal="center" vertical="center"/>
    </xf>
    <xf numFmtId="0" fontId="4" fillId="0" borderId="50" xfId="0" applyFont="1" applyBorder="1" applyAlignment="1">
      <alignment vertical="center"/>
    </xf>
    <xf numFmtId="4" fontId="5" fillId="0" borderId="51" xfId="0" applyNumberFormat="1" applyFont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1" fontId="4" fillId="0" borderId="52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vertical="center"/>
    </xf>
    <xf numFmtId="4" fontId="5" fillId="0" borderId="53" xfId="0" applyNumberFormat="1" applyFont="1" applyBorder="1" applyAlignment="1">
      <alignment horizontal="center" vertical="center"/>
    </xf>
    <xf numFmtId="0" fontId="4" fillId="2" borderId="41" xfId="0" applyFont="1" applyFill="1" applyBorder="1" applyAlignment="1">
      <alignment horizontal="center" vertical="center"/>
    </xf>
    <xf numFmtId="0" fontId="4" fillId="2" borderId="43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1" fontId="9" fillId="0" borderId="54" xfId="0" applyNumberFormat="1" applyFon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1" fontId="4" fillId="5" borderId="49" xfId="0" applyNumberFormat="1" applyFont="1" applyFill="1" applyBorder="1" applyAlignment="1">
      <alignment horizontal="center" vertical="center"/>
    </xf>
    <xf numFmtId="1" fontId="4" fillId="5" borderId="28" xfId="0" applyNumberFormat="1" applyFont="1" applyFill="1" applyBorder="1" applyAlignment="1">
      <alignment horizontal="center" vertical="center"/>
    </xf>
    <xf numFmtId="1" fontId="9" fillId="3" borderId="7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BA75"/>
  <sheetViews>
    <sheetView tabSelected="1" zoomScale="148" zoomScaleNormal="148" workbookViewId="0">
      <pane ySplit="2" topLeftCell="A60" activePane="bottomLeft" state="frozen"/>
      <selection pane="bottomLeft" activeCell="C70" sqref="C70"/>
    </sheetView>
  </sheetViews>
  <sheetFormatPr defaultRowHeight="15" x14ac:dyDescent="0.25"/>
  <cols>
    <col min="1" max="1" width="4.28515625" customWidth="1"/>
    <col min="2" max="2" width="7.7109375" style="2" customWidth="1"/>
    <col min="3" max="3" width="72" style="1" customWidth="1"/>
    <col min="4" max="4" width="8.28515625" style="6" bestFit="1" customWidth="1"/>
    <col min="5" max="5" width="8.85546875" style="2" customWidth="1"/>
    <col min="6" max="6" width="61.85546875" style="1" customWidth="1"/>
    <col min="7" max="7" width="8.28515625" style="6" bestFit="1" customWidth="1"/>
    <col min="8" max="8" width="4.5703125" style="46" customWidth="1"/>
    <col min="9" max="9" width="7.28515625" customWidth="1"/>
    <col min="10" max="10" width="4" style="46" customWidth="1"/>
    <col min="11" max="11" width="7.140625" customWidth="1"/>
    <col min="12" max="12" width="4" style="46" customWidth="1"/>
    <col min="13" max="13" width="8.28515625" customWidth="1"/>
    <col min="14" max="14" width="3.42578125" customWidth="1"/>
    <col min="15" max="15" width="5.85546875" customWidth="1"/>
    <col min="16" max="16" width="4" customWidth="1"/>
    <col min="17" max="17" width="5.85546875" customWidth="1"/>
    <col min="18" max="18" width="3.28515625" bestFit="1" customWidth="1"/>
    <col min="19" max="19" width="7.28515625" bestFit="1" customWidth="1"/>
    <col min="20" max="20" width="3.28515625" customWidth="1"/>
    <col min="21" max="21" width="5.85546875" customWidth="1"/>
    <col min="22" max="22" width="3.28515625" customWidth="1"/>
    <col min="23" max="23" width="5.85546875" customWidth="1"/>
    <col min="24" max="24" width="3.28515625" bestFit="1" customWidth="1"/>
    <col min="25" max="25" width="5.85546875" customWidth="1"/>
    <col min="26" max="26" width="3.28515625" bestFit="1" customWidth="1"/>
    <col min="27" max="27" width="5.85546875" customWidth="1"/>
    <col min="28" max="28" width="3.28515625" bestFit="1" customWidth="1"/>
    <col min="29" max="29" width="5.85546875" customWidth="1"/>
    <col min="30" max="30" width="3.28515625" bestFit="1" customWidth="1"/>
    <col min="31" max="31" width="5.85546875" customWidth="1"/>
    <col min="32" max="32" width="3.28515625" bestFit="1" customWidth="1"/>
    <col min="33" max="33" width="5.85546875" customWidth="1"/>
    <col min="34" max="34" width="3.28515625" bestFit="1" customWidth="1"/>
    <col min="35" max="35" width="5.85546875" customWidth="1"/>
    <col min="36" max="36" width="3.28515625" bestFit="1" customWidth="1"/>
    <col min="37" max="37" width="5.85546875" customWidth="1"/>
    <col min="38" max="38" width="3.28515625" bestFit="1" customWidth="1"/>
    <col min="39" max="39" width="5.85546875" customWidth="1"/>
    <col min="40" max="40" width="3.28515625" bestFit="1" customWidth="1"/>
    <col min="41" max="41" width="5.85546875" customWidth="1"/>
    <col min="42" max="42" width="3.28515625" bestFit="1" customWidth="1"/>
    <col min="43" max="43" width="5.85546875" customWidth="1"/>
    <col min="44" max="44" width="3.28515625" bestFit="1" customWidth="1"/>
    <col min="45" max="45" width="5.85546875" customWidth="1"/>
    <col min="46" max="46" width="3.28515625" bestFit="1" customWidth="1"/>
    <col min="47" max="47" width="5.85546875" customWidth="1"/>
    <col min="48" max="48" width="3.28515625" bestFit="1" customWidth="1"/>
    <col min="49" max="49" width="5.85546875" customWidth="1"/>
    <col min="50" max="50" width="3.28515625" bestFit="1" customWidth="1"/>
    <col min="51" max="51" width="5.85546875" customWidth="1"/>
  </cols>
  <sheetData>
    <row r="1" spans="1:53" ht="24" thickBot="1" x14ac:dyDescent="0.3">
      <c r="B1" s="21"/>
      <c r="C1" s="22" t="s">
        <v>84</v>
      </c>
      <c r="D1" s="23"/>
      <c r="E1" s="21"/>
      <c r="F1" s="22" t="str">
        <f>C1</f>
        <v>CARDÁPIO 28/07/2026</v>
      </c>
      <c r="G1" s="23"/>
    </row>
    <row r="2" spans="1:53" ht="18.75" customHeight="1" thickBot="1" x14ac:dyDescent="0.3">
      <c r="A2" t="s">
        <v>81</v>
      </c>
      <c r="B2" s="148" t="s">
        <v>67</v>
      </c>
      <c r="C2" s="149" t="s">
        <v>77</v>
      </c>
      <c r="D2" s="150" t="s">
        <v>68</v>
      </c>
      <c r="E2" s="8" t="str">
        <f>B2</f>
        <v>CÓD</v>
      </c>
      <c r="F2" s="9" t="str">
        <f>C2</f>
        <v>ITENS</v>
      </c>
      <c r="G2" s="10" t="str">
        <f>D2</f>
        <v>R$</v>
      </c>
      <c r="H2" s="100" t="s">
        <v>52</v>
      </c>
      <c r="I2" s="101"/>
      <c r="J2" s="100" t="s">
        <v>53</v>
      </c>
      <c r="K2" s="101"/>
      <c r="L2" s="100" t="s">
        <v>54</v>
      </c>
      <c r="M2" s="101"/>
      <c r="N2" s="102" t="s">
        <v>58</v>
      </c>
      <c r="O2" s="103"/>
      <c r="P2" s="102" t="s">
        <v>64</v>
      </c>
      <c r="Q2" s="103"/>
      <c r="R2" s="102" t="s">
        <v>57</v>
      </c>
      <c r="S2" s="103"/>
      <c r="T2" s="100">
        <v>10</v>
      </c>
      <c r="U2" s="101"/>
      <c r="V2" s="100">
        <v>11</v>
      </c>
      <c r="W2" s="101"/>
      <c r="X2" s="100">
        <v>12</v>
      </c>
      <c r="Y2" s="101"/>
      <c r="Z2" s="100">
        <v>13</v>
      </c>
      <c r="AA2" s="101"/>
      <c r="AB2" s="104">
        <v>14</v>
      </c>
      <c r="AC2" s="105"/>
      <c r="AD2" s="106">
        <v>15</v>
      </c>
      <c r="AE2" s="105"/>
      <c r="AF2" s="106">
        <v>16</v>
      </c>
      <c r="AG2" s="105"/>
      <c r="AH2" s="106">
        <v>17</v>
      </c>
      <c r="AI2" s="105"/>
      <c r="AJ2" s="106">
        <v>18</v>
      </c>
      <c r="AK2" s="105"/>
      <c r="AL2" s="106">
        <v>19</v>
      </c>
      <c r="AM2" s="105"/>
      <c r="AN2" s="106">
        <v>20</v>
      </c>
      <c r="AO2" s="105"/>
      <c r="AP2" s="106">
        <v>21</v>
      </c>
      <c r="AQ2" s="105"/>
      <c r="AR2" s="106">
        <v>22</v>
      </c>
      <c r="AS2" s="105"/>
      <c r="AT2" s="106">
        <v>24</v>
      </c>
      <c r="AU2" s="105"/>
      <c r="AV2" s="106">
        <v>25</v>
      </c>
      <c r="AW2" s="105"/>
      <c r="AX2" s="106">
        <v>26</v>
      </c>
      <c r="AY2" s="105"/>
      <c r="AZ2" s="63" t="s">
        <v>65</v>
      </c>
      <c r="BA2" s="42"/>
    </row>
    <row r="3" spans="1:53" ht="18" customHeight="1" thickBot="1" x14ac:dyDescent="0.3">
      <c r="A3" t="s">
        <v>82</v>
      </c>
      <c r="B3" s="152"/>
      <c r="C3" s="137" t="s">
        <v>70</v>
      </c>
      <c r="D3" s="153"/>
      <c r="E3" s="11"/>
      <c r="F3" s="12" t="str">
        <f>C3</f>
        <v>PETISCOS (Produção Própria)</v>
      </c>
      <c r="G3" s="13"/>
      <c r="H3" s="51"/>
      <c r="I3" s="52"/>
      <c r="J3" s="51"/>
      <c r="K3" s="52"/>
      <c r="L3" s="51"/>
      <c r="M3" s="52"/>
      <c r="N3" s="60"/>
      <c r="O3" s="52"/>
      <c r="P3" s="60"/>
      <c r="Q3" s="52"/>
      <c r="R3" s="60"/>
      <c r="S3" s="52"/>
      <c r="T3" s="60"/>
      <c r="U3" s="52"/>
      <c r="V3" s="60"/>
      <c r="W3" s="52"/>
      <c r="X3" s="60"/>
      <c r="Y3" s="52"/>
      <c r="Z3" s="57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3"/>
      <c r="AW3" s="43"/>
      <c r="AX3" s="43"/>
      <c r="AY3" s="43"/>
      <c r="AZ3" s="43"/>
      <c r="BA3" s="43"/>
    </row>
    <row r="4" spans="1:53" ht="18" customHeight="1" x14ac:dyDescent="0.25">
      <c r="A4" t="s">
        <v>82</v>
      </c>
      <c r="B4" s="154">
        <v>23</v>
      </c>
      <c r="C4" s="140" t="s">
        <v>44</v>
      </c>
      <c r="D4" s="141">
        <v>40</v>
      </c>
      <c r="E4" s="151">
        <f>B4</f>
        <v>23</v>
      </c>
      <c r="F4" s="28" t="str">
        <f>C4</f>
        <v>Bolinho de Bacalhau (06 unidades)</v>
      </c>
      <c r="G4" s="29">
        <f>D4</f>
        <v>40</v>
      </c>
      <c r="H4" s="62"/>
      <c r="I4" s="54">
        <f>$D4*H4</f>
        <v>0</v>
      </c>
      <c r="J4" s="53"/>
      <c r="K4" s="54">
        <f>$D4*J4</f>
        <v>0</v>
      </c>
      <c r="L4" s="53"/>
      <c r="M4" s="54">
        <f>$D4*L4</f>
        <v>0</v>
      </c>
      <c r="N4" s="61"/>
      <c r="O4" s="54">
        <f>$D4*N4</f>
        <v>0</v>
      </c>
      <c r="P4" s="61"/>
      <c r="Q4" s="54">
        <f>$D4*P4</f>
        <v>0</v>
      </c>
      <c r="R4" s="61"/>
      <c r="S4" s="54">
        <f>$D4*R4</f>
        <v>0</v>
      </c>
      <c r="T4" s="61"/>
      <c r="U4" s="54">
        <f>$D4*T4</f>
        <v>0</v>
      </c>
      <c r="V4" s="61"/>
      <c r="W4" s="54">
        <f>$D4*V4</f>
        <v>0</v>
      </c>
      <c r="X4" s="61"/>
      <c r="Y4" s="54">
        <f>$D4*X4</f>
        <v>0</v>
      </c>
      <c r="Z4" s="58"/>
      <c r="AA4" s="44">
        <f>$D4*Z4</f>
        <v>0</v>
      </c>
      <c r="AB4" s="45"/>
      <c r="AC4" s="44">
        <f>$D4*AB4</f>
        <v>0</v>
      </c>
      <c r="AD4" s="45"/>
      <c r="AE4" s="44">
        <f>$D4*AD4</f>
        <v>0</v>
      </c>
      <c r="AF4" s="45"/>
      <c r="AG4" s="44">
        <f>$D4*AF4</f>
        <v>0</v>
      </c>
      <c r="AH4" s="45"/>
      <c r="AI4" s="44">
        <f>$D4*AH4</f>
        <v>0</v>
      </c>
      <c r="AJ4" s="45"/>
      <c r="AK4" s="44">
        <f>$D4*AJ4</f>
        <v>0</v>
      </c>
      <c r="AL4" s="45"/>
      <c r="AM4" s="44">
        <f>$D4*AL4</f>
        <v>0</v>
      </c>
      <c r="AN4" s="45"/>
      <c r="AO4" s="44">
        <f>$D4*AN4</f>
        <v>0</v>
      </c>
      <c r="AP4" s="45"/>
      <c r="AQ4" s="44">
        <f>$D4*AP4</f>
        <v>0</v>
      </c>
      <c r="AR4" s="45"/>
      <c r="AS4" s="44">
        <f>$D4*AR4</f>
        <v>0</v>
      </c>
      <c r="AT4" s="45"/>
      <c r="AU4" s="44">
        <f>$D4*AT4</f>
        <v>0</v>
      </c>
      <c r="AV4" s="45"/>
      <c r="AW4" s="44">
        <f>$D4*AV4</f>
        <v>0</v>
      </c>
      <c r="AX4" s="45"/>
      <c r="AY4" s="44">
        <f>$D4*AX4</f>
        <v>0</v>
      </c>
      <c r="AZ4" s="48">
        <f t="shared" ref="AZ4:AZ62" si="0">H4+J4+L4+N4+P4+R4+T4+V4+X4+Z4+AB4+AD4+AF4+AH4+AJ4+AL4+AN4+AP4+AR4+AT4+AV4+AX4</f>
        <v>0</v>
      </c>
      <c r="BA4" s="44">
        <f>$D4*AZ4</f>
        <v>0</v>
      </c>
    </row>
    <row r="5" spans="1:53" ht="16.5" hidden="1" customHeight="1" x14ac:dyDescent="0.25">
      <c r="A5" t="s">
        <v>83</v>
      </c>
      <c r="B5" s="111">
        <v>38</v>
      </c>
      <c r="C5" s="28" t="s">
        <v>36</v>
      </c>
      <c r="D5" s="29">
        <v>12</v>
      </c>
      <c r="E5" s="151">
        <f t="shared" ref="E5:E27" si="1">B5</f>
        <v>38</v>
      </c>
      <c r="F5" s="28" t="str">
        <f t="shared" ref="F5:F27" si="2">C5</f>
        <v>Caldinho de Camarão</v>
      </c>
      <c r="G5" s="29">
        <f t="shared" ref="G5:G27" si="3">D5</f>
        <v>12</v>
      </c>
      <c r="H5" s="62"/>
      <c r="I5" s="54">
        <f t="shared" ref="I5:K62" si="4">$D5*H5</f>
        <v>0</v>
      </c>
      <c r="J5" s="53"/>
      <c r="K5" s="54">
        <f t="shared" si="4"/>
        <v>0</v>
      </c>
      <c r="L5" s="53"/>
      <c r="M5" s="54">
        <f t="shared" ref="M5:O5" si="5">$D5*L5</f>
        <v>0</v>
      </c>
      <c r="N5" s="61"/>
      <c r="O5" s="54">
        <f t="shared" si="5"/>
        <v>0</v>
      </c>
      <c r="P5" s="61"/>
      <c r="Q5" s="54">
        <f t="shared" ref="Q5:S5" si="6">$D5*P5</f>
        <v>0</v>
      </c>
      <c r="R5" s="61"/>
      <c r="S5" s="54">
        <f t="shared" si="6"/>
        <v>0</v>
      </c>
      <c r="T5" s="61"/>
      <c r="U5" s="54">
        <f t="shared" ref="U5:W5" si="7">$D5*T5</f>
        <v>0</v>
      </c>
      <c r="V5" s="61"/>
      <c r="W5" s="54">
        <f t="shared" si="7"/>
        <v>0</v>
      </c>
      <c r="X5" s="61"/>
      <c r="Y5" s="54">
        <f t="shared" ref="Y5" si="8">$D5*X5</f>
        <v>0</v>
      </c>
      <c r="Z5" s="58"/>
      <c r="AA5" s="44">
        <f t="shared" ref="AA5" si="9">$D5*Z5</f>
        <v>0</v>
      </c>
      <c r="AB5" s="45"/>
      <c r="AC5" s="44">
        <f t="shared" ref="AC5" si="10">$D5*AB5</f>
        <v>0</v>
      </c>
      <c r="AD5" s="45"/>
      <c r="AE5" s="44">
        <f t="shared" ref="AE5" si="11">$D5*AD5</f>
        <v>0</v>
      </c>
      <c r="AF5" s="45"/>
      <c r="AG5" s="44">
        <f t="shared" ref="AG5" si="12">$D5*AF5</f>
        <v>0</v>
      </c>
      <c r="AH5" s="45"/>
      <c r="AI5" s="44">
        <f t="shared" ref="AI5:AI62" si="13">$D5*AH5</f>
        <v>0</v>
      </c>
      <c r="AJ5" s="45"/>
      <c r="AK5" s="44">
        <f t="shared" ref="AK5" si="14">$D5*AJ5</f>
        <v>0</v>
      </c>
      <c r="AL5" s="45"/>
      <c r="AM5" s="44">
        <f t="shared" ref="AM5" si="15">$D5*AL5</f>
        <v>0</v>
      </c>
      <c r="AN5" s="45"/>
      <c r="AO5" s="44">
        <f t="shared" ref="AO5" si="16">$D5*AN5</f>
        <v>0</v>
      </c>
      <c r="AP5" s="45"/>
      <c r="AQ5" s="44">
        <f t="shared" ref="AQ5:AQ62" si="17">$D5*AP5</f>
        <v>0</v>
      </c>
      <c r="AR5" s="45"/>
      <c r="AS5" s="44">
        <f t="shared" ref="AS5" si="18">$D5*AR5</f>
        <v>0</v>
      </c>
      <c r="AT5" s="45"/>
      <c r="AU5" s="44">
        <f t="shared" ref="AU5" si="19">$D5*AT5</f>
        <v>0</v>
      </c>
      <c r="AV5" s="45"/>
      <c r="AW5" s="44">
        <f t="shared" ref="AW5" si="20">$D5*AV5</f>
        <v>0</v>
      </c>
      <c r="AX5" s="45"/>
      <c r="AY5" s="44">
        <f t="shared" ref="AY5:AY62" si="21">$D5*AX5</f>
        <v>0</v>
      </c>
      <c r="AZ5" s="48">
        <f t="shared" si="0"/>
        <v>0</v>
      </c>
      <c r="BA5" s="44">
        <f t="shared" ref="BA5:BA64" si="22">$D5*AZ5</f>
        <v>0</v>
      </c>
    </row>
    <row r="6" spans="1:53" ht="16.5" hidden="1" customHeight="1" x14ac:dyDescent="0.25">
      <c r="A6" t="s">
        <v>83</v>
      </c>
      <c r="B6" s="109">
        <v>27</v>
      </c>
      <c r="C6" s="107" t="s">
        <v>16</v>
      </c>
      <c r="D6" s="108">
        <v>10</v>
      </c>
      <c r="E6" s="151">
        <f t="shared" si="1"/>
        <v>27</v>
      </c>
      <c r="F6" s="28" t="str">
        <f t="shared" si="2"/>
        <v>Caldinho de Feijão</v>
      </c>
      <c r="G6" s="29">
        <f t="shared" si="3"/>
        <v>10</v>
      </c>
      <c r="H6" s="62"/>
      <c r="I6" s="54">
        <f t="shared" si="4"/>
        <v>0</v>
      </c>
      <c r="J6" s="53"/>
      <c r="K6" s="54">
        <f t="shared" si="4"/>
        <v>0</v>
      </c>
      <c r="L6" s="53"/>
      <c r="M6" s="54">
        <f t="shared" ref="M6:O6" si="23">$D6*L6</f>
        <v>0</v>
      </c>
      <c r="N6" s="61"/>
      <c r="O6" s="54">
        <f t="shared" si="23"/>
        <v>0</v>
      </c>
      <c r="P6" s="61"/>
      <c r="Q6" s="54">
        <f t="shared" ref="Q6:S6" si="24">$D6*P6</f>
        <v>0</v>
      </c>
      <c r="R6" s="61"/>
      <c r="S6" s="54">
        <f t="shared" si="24"/>
        <v>0</v>
      </c>
      <c r="T6" s="61"/>
      <c r="U6" s="54">
        <f t="shared" ref="U6:W6" si="25">$D6*T6</f>
        <v>0</v>
      </c>
      <c r="V6" s="61"/>
      <c r="W6" s="54">
        <f t="shared" si="25"/>
        <v>0</v>
      </c>
      <c r="X6" s="61"/>
      <c r="Y6" s="54">
        <f t="shared" ref="Y6" si="26">$D6*X6</f>
        <v>0</v>
      </c>
      <c r="Z6" s="58"/>
      <c r="AA6" s="44">
        <f t="shared" ref="AA6" si="27">$D6*Z6</f>
        <v>0</v>
      </c>
      <c r="AB6" s="45"/>
      <c r="AC6" s="44">
        <f t="shared" ref="AC6" si="28">$D6*AB6</f>
        <v>0</v>
      </c>
      <c r="AD6" s="45"/>
      <c r="AE6" s="44">
        <f t="shared" ref="AE6" si="29">$D6*AD6</f>
        <v>0</v>
      </c>
      <c r="AF6" s="45"/>
      <c r="AG6" s="44">
        <f t="shared" ref="AG6" si="30">$D6*AF6</f>
        <v>0</v>
      </c>
      <c r="AH6" s="45"/>
      <c r="AI6" s="44">
        <f t="shared" si="13"/>
        <v>0</v>
      </c>
      <c r="AJ6" s="45"/>
      <c r="AK6" s="44">
        <f t="shared" ref="AK6" si="31">$D6*AJ6</f>
        <v>0</v>
      </c>
      <c r="AL6" s="45"/>
      <c r="AM6" s="44">
        <f t="shared" ref="AM6" si="32">$D6*AL6</f>
        <v>0</v>
      </c>
      <c r="AN6" s="45"/>
      <c r="AO6" s="44">
        <f t="shared" ref="AO6" si="33">$D6*AN6</f>
        <v>0</v>
      </c>
      <c r="AP6" s="45"/>
      <c r="AQ6" s="44">
        <f t="shared" si="17"/>
        <v>0</v>
      </c>
      <c r="AR6" s="45"/>
      <c r="AS6" s="44">
        <f t="shared" ref="AS6" si="34">$D6*AR6</f>
        <v>0</v>
      </c>
      <c r="AT6" s="45"/>
      <c r="AU6" s="44">
        <f t="shared" ref="AU6" si="35">$D6*AT6</f>
        <v>0</v>
      </c>
      <c r="AV6" s="45"/>
      <c r="AW6" s="44">
        <f t="shared" ref="AW6" si="36">$D6*AV6</f>
        <v>0</v>
      </c>
      <c r="AX6" s="45"/>
      <c r="AY6" s="44">
        <f t="shared" si="21"/>
        <v>0</v>
      </c>
      <c r="AZ6" s="48">
        <f t="shared" si="0"/>
        <v>0</v>
      </c>
      <c r="BA6" s="44">
        <f t="shared" si="22"/>
        <v>0</v>
      </c>
    </row>
    <row r="7" spans="1:53" ht="18" customHeight="1" x14ac:dyDescent="0.25">
      <c r="A7" t="s">
        <v>82</v>
      </c>
      <c r="B7" s="155">
        <v>44</v>
      </c>
      <c r="C7" s="125" t="s">
        <v>76</v>
      </c>
      <c r="D7" s="20">
        <v>50</v>
      </c>
      <c r="E7" s="151">
        <f t="shared" si="1"/>
        <v>44</v>
      </c>
      <c r="F7" s="28" t="str">
        <f t="shared" si="2"/>
        <v>Camarão Empanado (08 unidades)</v>
      </c>
      <c r="G7" s="29">
        <f t="shared" si="3"/>
        <v>50</v>
      </c>
      <c r="H7" s="62"/>
      <c r="I7" s="54">
        <f t="shared" si="4"/>
        <v>0</v>
      </c>
      <c r="J7" s="53"/>
      <c r="K7" s="54">
        <f t="shared" si="4"/>
        <v>0</v>
      </c>
      <c r="L7" s="53"/>
      <c r="M7" s="54">
        <f t="shared" ref="M7:O7" si="37">$D7*L7</f>
        <v>0</v>
      </c>
      <c r="N7" s="61"/>
      <c r="O7" s="54">
        <f t="shared" si="37"/>
        <v>0</v>
      </c>
      <c r="P7" s="61"/>
      <c r="Q7" s="54">
        <f t="shared" ref="Q7:S7" si="38">$D7*P7</f>
        <v>0</v>
      </c>
      <c r="R7" s="61"/>
      <c r="S7" s="54">
        <f t="shared" si="38"/>
        <v>0</v>
      </c>
      <c r="T7" s="61"/>
      <c r="U7" s="54">
        <f t="shared" ref="U7:W7" si="39">$D7*T7</f>
        <v>0</v>
      </c>
      <c r="V7" s="61"/>
      <c r="W7" s="54">
        <f t="shared" si="39"/>
        <v>0</v>
      </c>
      <c r="X7" s="61"/>
      <c r="Y7" s="54">
        <f t="shared" ref="Y7" si="40">$D7*X7</f>
        <v>0</v>
      </c>
      <c r="Z7" s="58"/>
      <c r="AA7" s="44">
        <f t="shared" ref="AA7" si="41">$D7*Z7</f>
        <v>0</v>
      </c>
      <c r="AB7" s="45"/>
      <c r="AC7" s="44">
        <f t="shared" ref="AC7" si="42">$D7*AB7</f>
        <v>0</v>
      </c>
      <c r="AD7" s="45"/>
      <c r="AE7" s="44">
        <f t="shared" ref="AE7" si="43">$D7*AD7</f>
        <v>0</v>
      </c>
      <c r="AF7" s="45"/>
      <c r="AG7" s="44">
        <f t="shared" ref="AG7" si="44">$D7*AF7</f>
        <v>0</v>
      </c>
      <c r="AH7" s="45"/>
      <c r="AI7" s="44">
        <f t="shared" si="13"/>
        <v>0</v>
      </c>
      <c r="AJ7" s="45"/>
      <c r="AK7" s="44">
        <f t="shared" ref="AK7" si="45">$D7*AJ7</f>
        <v>0</v>
      </c>
      <c r="AL7" s="45"/>
      <c r="AM7" s="44">
        <f t="shared" ref="AM7" si="46">$D7*AL7</f>
        <v>0</v>
      </c>
      <c r="AN7" s="45"/>
      <c r="AO7" s="44">
        <f t="shared" ref="AO7" si="47">$D7*AN7</f>
        <v>0</v>
      </c>
      <c r="AP7" s="45"/>
      <c r="AQ7" s="44">
        <f t="shared" si="17"/>
        <v>0</v>
      </c>
      <c r="AR7" s="45"/>
      <c r="AS7" s="44">
        <f t="shared" ref="AS7" si="48">$D7*AR7</f>
        <v>0</v>
      </c>
      <c r="AT7" s="45"/>
      <c r="AU7" s="44">
        <f t="shared" ref="AU7" si="49">$D7*AT7</f>
        <v>0</v>
      </c>
      <c r="AV7" s="45"/>
      <c r="AW7" s="44">
        <f t="shared" ref="AW7" si="50">$D7*AV7</f>
        <v>0</v>
      </c>
      <c r="AX7" s="45"/>
      <c r="AY7" s="44">
        <f t="shared" si="21"/>
        <v>0</v>
      </c>
      <c r="AZ7" s="48">
        <f t="shared" si="0"/>
        <v>0</v>
      </c>
      <c r="BA7" s="44">
        <f t="shared" si="22"/>
        <v>0</v>
      </c>
    </row>
    <row r="8" spans="1:53" ht="18" customHeight="1" x14ac:dyDescent="0.25">
      <c r="A8" t="s">
        <v>82</v>
      </c>
      <c r="B8" s="155">
        <v>45</v>
      </c>
      <c r="C8" s="125" t="s">
        <v>62</v>
      </c>
      <c r="D8" s="20">
        <v>40</v>
      </c>
      <c r="E8" s="151">
        <f t="shared" si="1"/>
        <v>45</v>
      </c>
      <c r="F8" s="28" t="str">
        <f t="shared" si="2"/>
        <v>Camarão Frito c/ Arroz e Farofa</v>
      </c>
      <c r="G8" s="29">
        <f t="shared" si="3"/>
        <v>40</v>
      </c>
      <c r="H8" s="62"/>
      <c r="I8" s="54">
        <f t="shared" si="4"/>
        <v>0</v>
      </c>
      <c r="J8" s="53"/>
      <c r="K8" s="54">
        <f t="shared" si="4"/>
        <v>0</v>
      </c>
      <c r="L8" s="53"/>
      <c r="M8" s="54">
        <f t="shared" ref="M8:O8" si="51">$D8*L8</f>
        <v>0</v>
      </c>
      <c r="N8" s="61"/>
      <c r="O8" s="54">
        <f t="shared" si="51"/>
        <v>0</v>
      </c>
      <c r="P8" s="61"/>
      <c r="Q8" s="54">
        <f t="shared" ref="Q8:S8" si="52">$D8*P8</f>
        <v>0</v>
      </c>
      <c r="R8" s="61"/>
      <c r="S8" s="54">
        <f t="shared" si="52"/>
        <v>0</v>
      </c>
      <c r="T8" s="61"/>
      <c r="U8" s="54">
        <f t="shared" ref="U8:W8" si="53">$D8*T8</f>
        <v>0</v>
      </c>
      <c r="V8" s="61"/>
      <c r="W8" s="54">
        <f t="shared" si="53"/>
        <v>0</v>
      </c>
      <c r="X8" s="61"/>
      <c r="Y8" s="54">
        <f t="shared" ref="Y8" si="54">$D8*X8</f>
        <v>0</v>
      </c>
      <c r="Z8" s="58"/>
      <c r="AA8" s="44">
        <f t="shared" ref="AA8" si="55">$D8*Z8</f>
        <v>0</v>
      </c>
      <c r="AB8" s="45"/>
      <c r="AC8" s="44">
        <f t="shared" ref="AC8" si="56">$D8*AB8</f>
        <v>0</v>
      </c>
      <c r="AD8" s="45"/>
      <c r="AE8" s="44">
        <f t="shared" ref="AE8" si="57">$D8*AD8</f>
        <v>0</v>
      </c>
      <c r="AF8" s="45"/>
      <c r="AG8" s="44">
        <f t="shared" ref="AG8" si="58">$D8*AF8</f>
        <v>0</v>
      </c>
      <c r="AH8" s="45"/>
      <c r="AI8" s="44">
        <f t="shared" si="13"/>
        <v>0</v>
      </c>
      <c r="AJ8" s="45"/>
      <c r="AK8" s="44">
        <f t="shared" ref="AK8" si="59">$D8*AJ8</f>
        <v>0</v>
      </c>
      <c r="AL8" s="45"/>
      <c r="AM8" s="44">
        <f t="shared" ref="AM8" si="60">$D8*AL8</f>
        <v>0</v>
      </c>
      <c r="AN8" s="45"/>
      <c r="AO8" s="44">
        <f t="shared" ref="AO8" si="61">$D8*AN8</f>
        <v>0</v>
      </c>
      <c r="AP8" s="45"/>
      <c r="AQ8" s="44">
        <f t="shared" si="17"/>
        <v>0</v>
      </c>
      <c r="AR8" s="45"/>
      <c r="AS8" s="44">
        <f t="shared" ref="AS8" si="62">$D8*AR8</f>
        <v>0</v>
      </c>
      <c r="AT8" s="45"/>
      <c r="AU8" s="44">
        <f t="shared" ref="AU8" si="63">$D8*AT8</f>
        <v>0</v>
      </c>
      <c r="AV8" s="45"/>
      <c r="AW8" s="44">
        <f t="shared" ref="AW8" si="64">$D8*AV8</f>
        <v>0</v>
      </c>
      <c r="AX8" s="45"/>
      <c r="AY8" s="44">
        <f t="shared" si="21"/>
        <v>0</v>
      </c>
      <c r="AZ8" s="48">
        <f t="shared" si="0"/>
        <v>0</v>
      </c>
      <c r="BA8" s="44">
        <f t="shared" si="22"/>
        <v>0</v>
      </c>
    </row>
    <row r="9" spans="1:53" ht="16.5" hidden="1" customHeight="1" x14ac:dyDescent="0.25">
      <c r="A9" t="s">
        <v>83</v>
      </c>
      <c r="B9" s="111">
        <v>55</v>
      </c>
      <c r="C9" s="28" t="s">
        <v>55</v>
      </c>
      <c r="D9" s="29">
        <v>40</v>
      </c>
      <c r="E9" s="151">
        <f t="shared" si="1"/>
        <v>55</v>
      </c>
      <c r="F9" s="28" t="str">
        <f t="shared" si="2"/>
        <v>Carne de Sol Defumada c/farofa e macaxeira</v>
      </c>
      <c r="G9" s="29">
        <f t="shared" si="3"/>
        <v>40</v>
      </c>
      <c r="H9" s="62"/>
      <c r="I9" s="54">
        <f t="shared" si="4"/>
        <v>0</v>
      </c>
      <c r="J9" s="53"/>
      <c r="K9" s="54">
        <f t="shared" si="4"/>
        <v>0</v>
      </c>
      <c r="L9" s="53"/>
      <c r="M9" s="54">
        <f t="shared" ref="M9:O9" si="65">$D9*L9</f>
        <v>0</v>
      </c>
      <c r="N9" s="61"/>
      <c r="O9" s="54">
        <f t="shared" si="65"/>
        <v>0</v>
      </c>
      <c r="P9" s="61"/>
      <c r="Q9" s="54">
        <f t="shared" ref="Q9:S9" si="66">$D9*P9</f>
        <v>0</v>
      </c>
      <c r="R9" s="61"/>
      <c r="S9" s="54">
        <f t="shared" si="66"/>
        <v>0</v>
      </c>
      <c r="T9" s="61"/>
      <c r="U9" s="54">
        <f t="shared" ref="U9:W9" si="67">$D9*T9</f>
        <v>0</v>
      </c>
      <c r="V9" s="61"/>
      <c r="W9" s="54">
        <f t="shared" si="67"/>
        <v>0</v>
      </c>
      <c r="X9" s="61"/>
      <c r="Y9" s="54">
        <f t="shared" ref="Y9" si="68">$D9*X9</f>
        <v>0</v>
      </c>
      <c r="Z9" s="58"/>
      <c r="AA9" s="44">
        <f t="shared" ref="AA9" si="69">$D9*Z9</f>
        <v>0</v>
      </c>
      <c r="AB9" s="45"/>
      <c r="AC9" s="44">
        <f t="shared" ref="AC9" si="70">$D9*AB9</f>
        <v>0</v>
      </c>
      <c r="AD9" s="45"/>
      <c r="AE9" s="44">
        <f t="shared" ref="AE9" si="71">$D9*AD9</f>
        <v>0</v>
      </c>
      <c r="AF9" s="45"/>
      <c r="AG9" s="44">
        <f t="shared" ref="AG9" si="72">$D9*AF9</f>
        <v>0</v>
      </c>
      <c r="AH9" s="45"/>
      <c r="AI9" s="44">
        <f t="shared" si="13"/>
        <v>0</v>
      </c>
      <c r="AJ9" s="45"/>
      <c r="AK9" s="44">
        <f t="shared" ref="AK9" si="73">$D9*AJ9</f>
        <v>0</v>
      </c>
      <c r="AL9" s="45"/>
      <c r="AM9" s="44">
        <f t="shared" ref="AM9" si="74">$D9*AL9</f>
        <v>0</v>
      </c>
      <c r="AN9" s="45"/>
      <c r="AO9" s="44">
        <f t="shared" ref="AO9" si="75">$D9*AN9</f>
        <v>0</v>
      </c>
      <c r="AP9" s="45"/>
      <c r="AQ9" s="44">
        <f t="shared" si="17"/>
        <v>0</v>
      </c>
      <c r="AR9" s="45"/>
      <c r="AS9" s="44">
        <f t="shared" ref="AS9" si="76">$D9*AR9</f>
        <v>0</v>
      </c>
      <c r="AT9" s="45"/>
      <c r="AU9" s="44">
        <f t="shared" ref="AU9" si="77">$D9*AT9</f>
        <v>0</v>
      </c>
      <c r="AV9" s="45"/>
      <c r="AW9" s="44">
        <f t="shared" ref="AW9" si="78">$D9*AV9</f>
        <v>0</v>
      </c>
      <c r="AX9" s="45"/>
      <c r="AY9" s="44">
        <f t="shared" si="21"/>
        <v>0</v>
      </c>
      <c r="AZ9" s="48">
        <f t="shared" si="0"/>
        <v>0</v>
      </c>
      <c r="BA9" s="44">
        <f t="shared" si="22"/>
        <v>0</v>
      </c>
    </row>
    <row r="10" spans="1:53" ht="16.5" hidden="1" customHeight="1" x14ac:dyDescent="0.25">
      <c r="A10" t="s">
        <v>83</v>
      </c>
      <c r="B10" s="87">
        <v>41</v>
      </c>
      <c r="C10" s="31" t="s">
        <v>39</v>
      </c>
      <c r="D10" s="32">
        <v>30</v>
      </c>
      <c r="E10" s="151">
        <f t="shared" si="1"/>
        <v>41</v>
      </c>
      <c r="F10" s="28" t="str">
        <f t="shared" si="2"/>
        <v>Carne de Sol em Cubos na Manteiga de Garrafa</v>
      </c>
      <c r="G10" s="29">
        <f t="shared" si="3"/>
        <v>30</v>
      </c>
      <c r="H10" s="62"/>
      <c r="I10" s="54">
        <f t="shared" si="4"/>
        <v>0</v>
      </c>
      <c r="J10" s="53"/>
      <c r="K10" s="54">
        <f t="shared" si="4"/>
        <v>0</v>
      </c>
      <c r="L10" s="53"/>
      <c r="M10" s="54">
        <f t="shared" ref="M10:O10" si="79">$D10*L10</f>
        <v>0</v>
      </c>
      <c r="N10" s="61"/>
      <c r="O10" s="54">
        <f t="shared" si="79"/>
        <v>0</v>
      </c>
      <c r="P10" s="61"/>
      <c r="Q10" s="54">
        <f t="shared" ref="Q10:S10" si="80">$D10*P10</f>
        <v>0</v>
      </c>
      <c r="R10" s="61"/>
      <c r="S10" s="54">
        <f t="shared" si="80"/>
        <v>0</v>
      </c>
      <c r="T10" s="61"/>
      <c r="U10" s="54">
        <f t="shared" ref="U10:W10" si="81">$D10*T10</f>
        <v>0</v>
      </c>
      <c r="V10" s="61"/>
      <c r="W10" s="54">
        <f t="shared" si="81"/>
        <v>0</v>
      </c>
      <c r="X10" s="61"/>
      <c r="Y10" s="54">
        <f t="shared" ref="Y10" si="82">$D10*X10</f>
        <v>0</v>
      </c>
      <c r="Z10" s="58"/>
      <c r="AA10" s="44">
        <f t="shared" ref="AA10" si="83">$D10*Z10</f>
        <v>0</v>
      </c>
      <c r="AB10" s="45"/>
      <c r="AC10" s="44">
        <f t="shared" ref="AC10" si="84">$D10*AB10</f>
        <v>0</v>
      </c>
      <c r="AD10" s="45"/>
      <c r="AE10" s="44">
        <f t="shared" ref="AE10" si="85">$D10*AD10</f>
        <v>0</v>
      </c>
      <c r="AF10" s="45"/>
      <c r="AG10" s="44">
        <f t="shared" ref="AG10" si="86">$D10*AF10</f>
        <v>0</v>
      </c>
      <c r="AH10" s="45"/>
      <c r="AI10" s="44">
        <f t="shared" si="13"/>
        <v>0</v>
      </c>
      <c r="AJ10" s="45"/>
      <c r="AK10" s="44">
        <f t="shared" ref="AK10" si="87">$D10*AJ10</f>
        <v>0</v>
      </c>
      <c r="AL10" s="45"/>
      <c r="AM10" s="44">
        <f t="shared" ref="AM10" si="88">$D10*AL10</f>
        <v>0</v>
      </c>
      <c r="AN10" s="45"/>
      <c r="AO10" s="44">
        <f t="shared" ref="AO10" si="89">$D10*AN10</f>
        <v>0</v>
      </c>
      <c r="AP10" s="45"/>
      <c r="AQ10" s="44">
        <f t="shared" si="17"/>
        <v>0</v>
      </c>
      <c r="AR10" s="45"/>
      <c r="AS10" s="44">
        <f t="shared" ref="AS10" si="90">$D10*AR10</f>
        <v>0</v>
      </c>
      <c r="AT10" s="45"/>
      <c r="AU10" s="44">
        <f t="shared" ref="AU10" si="91">$D10*AT10</f>
        <v>0</v>
      </c>
      <c r="AV10" s="45"/>
      <c r="AW10" s="44">
        <f t="shared" ref="AW10" si="92">$D10*AV10</f>
        <v>0</v>
      </c>
      <c r="AX10" s="45"/>
      <c r="AY10" s="44">
        <f t="shared" si="21"/>
        <v>0</v>
      </c>
      <c r="AZ10" s="48">
        <f t="shared" si="0"/>
        <v>0</v>
      </c>
      <c r="BA10" s="44">
        <f t="shared" si="22"/>
        <v>0</v>
      </c>
    </row>
    <row r="11" spans="1:53" ht="16.5" hidden="1" customHeight="1" x14ac:dyDescent="0.25">
      <c r="A11" t="s">
        <v>83</v>
      </c>
      <c r="B11" s="109">
        <v>42</v>
      </c>
      <c r="C11" s="107" t="s">
        <v>45</v>
      </c>
      <c r="D11" s="108">
        <v>30</v>
      </c>
      <c r="E11" s="151">
        <f t="shared" si="1"/>
        <v>42</v>
      </c>
      <c r="F11" s="28" t="str">
        <f t="shared" si="2"/>
        <v>Casquinho de Carangueijo c/ Farofa</v>
      </c>
      <c r="G11" s="29">
        <f t="shared" si="3"/>
        <v>30</v>
      </c>
      <c r="H11" s="62"/>
      <c r="I11" s="54">
        <f t="shared" si="4"/>
        <v>0</v>
      </c>
      <c r="J11" s="53"/>
      <c r="K11" s="54">
        <f t="shared" si="4"/>
        <v>0</v>
      </c>
      <c r="L11" s="53"/>
      <c r="M11" s="54">
        <f t="shared" ref="M11:O11" si="93">$D11*L11</f>
        <v>0</v>
      </c>
      <c r="N11" s="61"/>
      <c r="O11" s="54">
        <f t="shared" si="93"/>
        <v>0</v>
      </c>
      <c r="P11" s="61"/>
      <c r="Q11" s="54">
        <f t="shared" ref="Q11:S11" si="94">$D11*P11</f>
        <v>0</v>
      </c>
      <c r="R11" s="61"/>
      <c r="S11" s="54">
        <f t="shared" si="94"/>
        <v>0</v>
      </c>
      <c r="T11" s="61"/>
      <c r="U11" s="54">
        <f t="shared" ref="U11:W11" si="95">$D11*T11</f>
        <v>0</v>
      </c>
      <c r="V11" s="61"/>
      <c r="W11" s="54">
        <f t="shared" si="95"/>
        <v>0</v>
      </c>
      <c r="X11" s="61"/>
      <c r="Y11" s="54">
        <f t="shared" ref="Y11" si="96">$D11*X11</f>
        <v>0</v>
      </c>
      <c r="Z11" s="58"/>
      <c r="AA11" s="44">
        <f t="shared" ref="AA11" si="97">$D11*Z11</f>
        <v>0</v>
      </c>
      <c r="AB11" s="45"/>
      <c r="AC11" s="44">
        <f t="shared" ref="AC11" si="98">$D11*AB11</f>
        <v>0</v>
      </c>
      <c r="AD11" s="45"/>
      <c r="AE11" s="44">
        <f t="shared" ref="AE11" si="99">$D11*AD11</f>
        <v>0</v>
      </c>
      <c r="AF11" s="45"/>
      <c r="AG11" s="44">
        <f t="shared" ref="AG11" si="100">$D11*AF11</f>
        <v>0</v>
      </c>
      <c r="AH11" s="45"/>
      <c r="AI11" s="44">
        <f t="shared" si="13"/>
        <v>0</v>
      </c>
      <c r="AJ11" s="45"/>
      <c r="AK11" s="44">
        <f t="shared" ref="AK11" si="101">$D11*AJ11</f>
        <v>0</v>
      </c>
      <c r="AL11" s="45"/>
      <c r="AM11" s="44">
        <f t="shared" ref="AM11" si="102">$D11*AL11</f>
        <v>0</v>
      </c>
      <c r="AN11" s="45"/>
      <c r="AO11" s="44">
        <f t="shared" ref="AO11" si="103">$D11*AN11</f>
        <v>0</v>
      </c>
      <c r="AP11" s="45"/>
      <c r="AQ11" s="44">
        <f t="shared" si="17"/>
        <v>0</v>
      </c>
      <c r="AR11" s="45"/>
      <c r="AS11" s="44">
        <f t="shared" ref="AS11" si="104">$D11*AR11</f>
        <v>0</v>
      </c>
      <c r="AT11" s="45"/>
      <c r="AU11" s="44">
        <f t="shared" ref="AU11" si="105">$D11*AT11</f>
        <v>0</v>
      </c>
      <c r="AV11" s="45"/>
      <c r="AW11" s="44">
        <f t="shared" ref="AW11" si="106">$D11*AV11</f>
        <v>0</v>
      </c>
      <c r="AX11" s="45"/>
      <c r="AY11" s="44">
        <f t="shared" si="21"/>
        <v>0</v>
      </c>
      <c r="AZ11" s="48">
        <f t="shared" si="0"/>
        <v>0</v>
      </c>
      <c r="BA11" s="44">
        <f t="shared" si="22"/>
        <v>0</v>
      </c>
    </row>
    <row r="12" spans="1:53" ht="18" customHeight="1" x14ac:dyDescent="0.25">
      <c r="A12" t="s">
        <v>82</v>
      </c>
      <c r="B12" s="155">
        <v>26</v>
      </c>
      <c r="C12" s="125" t="s">
        <v>72</v>
      </c>
      <c r="D12" s="20">
        <v>30</v>
      </c>
      <c r="E12" s="151">
        <f t="shared" si="1"/>
        <v>26</v>
      </c>
      <c r="F12" s="28" t="str">
        <f t="shared" si="2"/>
        <v>Coxinha c/ Massa de Macaxeira (08 unidades)</v>
      </c>
      <c r="G12" s="29">
        <f t="shared" si="3"/>
        <v>30</v>
      </c>
      <c r="H12" s="62"/>
      <c r="I12" s="54">
        <f t="shared" si="4"/>
        <v>0</v>
      </c>
      <c r="J12" s="53"/>
      <c r="K12" s="54">
        <f t="shared" si="4"/>
        <v>0</v>
      </c>
      <c r="L12" s="53"/>
      <c r="M12" s="54">
        <f t="shared" ref="M12:O12" si="107">$D12*L12</f>
        <v>0</v>
      </c>
      <c r="N12" s="61"/>
      <c r="O12" s="54">
        <f t="shared" si="107"/>
        <v>0</v>
      </c>
      <c r="P12" s="61"/>
      <c r="Q12" s="54">
        <f t="shared" ref="Q12:S12" si="108">$D12*P12</f>
        <v>0</v>
      </c>
      <c r="R12" s="61"/>
      <c r="S12" s="54">
        <f t="shared" si="108"/>
        <v>0</v>
      </c>
      <c r="T12" s="61"/>
      <c r="U12" s="54">
        <f t="shared" ref="U12:W12" si="109">$D12*T12</f>
        <v>0</v>
      </c>
      <c r="V12" s="61"/>
      <c r="W12" s="54">
        <f t="shared" si="109"/>
        <v>0</v>
      </c>
      <c r="X12" s="61"/>
      <c r="Y12" s="54">
        <f t="shared" ref="Y12" si="110">$D12*X12</f>
        <v>0</v>
      </c>
      <c r="Z12" s="58"/>
      <c r="AA12" s="44">
        <f t="shared" ref="AA12" si="111">$D12*Z12</f>
        <v>0</v>
      </c>
      <c r="AB12" s="45"/>
      <c r="AC12" s="44">
        <f t="shared" ref="AC12" si="112">$D12*AB12</f>
        <v>0</v>
      </c>
      <c r="AD12" s="45"/>
      <c r="AE12" s="44">
        <f t="shared" ref="AE12" si="113">$D12*AD12</f>
        <v>0</v>
      </c>
      <c r="AF12" s="45"/>
      <c r="AG12" s="44">
        <f t="shared" ref="AG12" si="114">$D12*AF12</f>
        <v>0</v>
      </c>
      <c r="AH12" s="45"/>
      <c r="AI12" s="44">
        <f t="shared" si="13"/>
        <v>0</v>
      </c>
      <c r="AJ12" s="45"/>
      <c r="AK12" s="44">
        <f t="shared" ref="AK12" si="115">$D12*AJ12</f>
        <v>0</v>
      </c>
      <c r="AL12" s="45"/>
      <c r="AM12" s="44">
        <f t="shared" ref="AM12" si="116">$D12*AL12</f>
        <v>0</v>
      </c>
      <c r="AN12" s="45"/>
      <c r="AO12" s="44">
        <f t="shared" ref="AO12" si="117">$D12*AN12</f>
        <v>0</v>
      </c>
      <c r="AP12" s="45"/>
      <c r="AQ12" s="44">
        <f t="shared" si="17"/>
        <v>0</v>
      </c>
      <c r="AR12" s="45"/>
      <c r="AS12" s="44">
        <f t="shared" ref="AS12" si="118">$D12*AR12</f>
        <v>0</v>
      </c>
      <c r="AT12" s="45"/>
      <c r="AU12" s="44">
        <f t="shared" ref="AU12" si="119">$D12*AT12</f>
        <v>0</v>
      </c>
      <c r="AV12" s="45"/>
      <c r="AW12" s="44">
        <f t="shared" ref="AW12" si="120">$D12*AV12</f>
        <v>0</v>
      </c>
      <c r="AX12" s="45"/>
      <c r="AY12" s="44">
        <f t="shared" si="21"/>
        <v>0</v>
      </c>
      <c r="AZ12" s="48">
        <f t="shared" si="0"/>
        <v>0</v>
      </c>
      <c r="BA12" s="44">
        <f t="shared" si="22"/>
        <v>0</v>
      </c>
    </row>
    <row r="13" spans="1:53" ht="16.5" hidden="1" customHeight="1" x14ac:dyDescent="0.25">
      <c r="A13" t="s">
        <v>83</v>
      </c>
      <c r="B13" s="112">
        <v>47</v>
      </c>
      <c r="C13" s="113" t="s">
        <v>61</v>
      </c>
      <c r="D13" s="114">
        <v>35</v>
      </c>
      <c r="E13" s="151">
        <f t="shared" si="1"/>
        <v>47</v>
      </c>
      <c r="F13" s="28" t="str">
        <f t="shared" si="2"/>
        <v>Croquete de Macaxeira c/ Carne de Sol</v>
      </c>
      <c r="G13" s="29">
        <f t="shared" si="3"/>
        <v>35</v>
      </c>
      <c r="H13" s="62"/>
      <c r="I13" s="54">
        <f t="shared" si="4"/>
        <v>0</v>
      </c>
      <c r="J13" s="53"/>
      <c r="K13" s="54">
        <f t="shared" si="4"/>
        <v>0</v>
      </c>
      <c r="L13" s="53"/>
      <c r="M13" s="54">
        <f t="shared" ref="M13:O13" si="121">$D13*L13</f>
        <v>0</v>
      </c>
      <c r="N13" s="61"/>
      <c r="O13" s="54">
        <f t="shared" si="121"/>
        <v>0</v>
      </c>
      <c r="P13" s="61"/>
      <c r="Q13" s="54">
        <f t="shared" ref="Q13:S13" si="122">$D13*P13</f>
        <v>0</v>
      </c>
      <c r="R13" s="61"/>
      <c r="S13" s="54">
        <f t="shared" si="122"/>
        <v>0</v>
      </c>
      <c r="T13" s="61"/>
      <c r="U13" s="54">
        <f t="shared" ref="U13:W13" si="123">$D13*T13</f>
        <v>0</v>
      </c>
      <c r="V13" s="61"/>
      <c r="W13" s="54">
        <f t="shared" si="123"/>
        <v>0</v>
      </c>
      <c r="X13" s="61"/>
      <c r="Y13" s="54">
        <f t="shared" ref="Y13" si="124">$D13*X13</f>
        <v>0</v>
      </c>
      <c r="Z13" s="58"/>
      <c r="AA13" s="44">
        <f t="shared" ref="AA13" si="125">$D13*Z13</f>
        <v>0</v>
      </c>
      <c r="AB13" s="45"/>
      <c r="AC13" s="44">
        <f t="shared" ref="AC13" si="126">$D13*AB13</f>
        <v>0</v>
      </c>
      <c r="AD13" s="45"/>
      <c r="AE13" s="44">
        <f t="shared" ref="AE13" si="127">$D13*AD13</f>
        <v>0</v>
      </c>
      <c r="AF13" s="45"/>
      <c r="AG13" s="44">
        <f t="shared" ref="AG13" si="128">$D13*AF13</f>
        <v>0</v>
      </c>
      <c r="AH13" s="45"/>
      <c r="AI13" s="44">
        <f t="shared" si="13"/>
        <v>0</v>
      </c>
      <c r="AJ13" s="45"/>
      <c r="AK13" s="44">
        <f t="shared" ref="AK13" si="129">$D13*AJ13</f>
        <v>0</v>
      </c>
      <c r="AL13" s="45"/>
      <c r="AM13" s="44">
        <f t="shared" ref="AM13" si="130">$D13*AL13</f>
        <v>0</v>
      </c>
      <c r="AN13" s="45"/>
      <c r="AO13" s="44">
        <f t="shared" ref="AO13" si="131">$D13*AN13</f>
        <v>0</v>
      </c>
      <c r="AP13" s="45"/>
      <c r="AQ13" s="44">
        <f t="shared" si="17"/>
        <v>0</v>
      </c>
      <c r="AR13" s="45"/>
      <c r="AS13" s="44">
        <f t="shared" ref="AS13" si="132">$D13*AR13</f>
        <v>0</v>
      </c>
      <c r="AT13" s="45"/>
      <c r="AU13" s="44">
        <f t="shared" ref="AU13" si="133">$D13*AT13</f>
        <v>0</v>
      </c>
      <c r="AV13" s="45"/>
      <c r="AW13" s="44">
        <f t="shared" ref="AW13" si="134">$D13*AV13</f>
        <v>0</v>
      </c>
      <c r="AX13" s="45"/>
      <c r="AY13" s="44">
        <f t="shared" si="21"/>
        <v>0</v>
      </c>
      <c r="AZ13" s="48">
        <f t="shared" si="0"/>
        <v>0</v>
      </c>
      <c r="BA13" s="44">
        <f t="shared" si="22"/>
        <v>0</v>
      </c>
    </row>
    <row r="14" spans="1:53" ht="18" customHeight="1" x14ac:dyDescent="0.25">
      <c r="A14" t="s">
        <v>82</v>
      </c>
      <c r="B14" s="155">
        <v>25</v>
      </c>
      <c r="C14" s="125" t="s">
        <v>73</v>
      </c>
      <c r="D14" s="20">
        <v>30</v>
      </c>
      <c r="E14" s="151">
        <f t="shared" si="1"/>
        <v>25</v>
      </c>
      <c r="F14" s="28" t="str">
        <f t="shared" si="2"/>
        <v>Dadinho de Tapioca c/ Geléia de Pimenta (08 unidades)</v>
      </c>
      <c r="G14" s="29">
        <f t="shared" si="3"/>
        <v>30</v>
      </c>
      <c r="H14" s="62"/>
      <c r="I14" s="54">
        <f t="shared" si="4"/>
        <v>0</v>
      </c>
      <c r="J14" s="53"/>
      <c r="K14" s="54">
        <f t="shared" si="4"/>
        <v>0</v>
      </c>
      <c r="L14" s="53"/>
      <c r="M14" s="54">
        <f t="shared" ref="M14:O14" si="135">$D14*L14</f>
        <v>0</v>
      </c>
      <c r="N14" s="61"/>
      <c r="O14" s="54">
        <f t="shared" si="135"/>
        <v>0</v>
      </c>
      <c r="P14" s="61"/>
      <c r="Q14" s="54">
        <f t="shared" ref="Q14:S14" si="136">$D14*P14</f>
        <v>0</v>
      </c>
      <c r="R14" s="61"/>
      <c r="S14" s="54">
        <f t="shared" si="136"/>
        <v>0</v>
      </c>
      <c r="T14" s="61"/>
      <c r="U14" s="54">
        <f t="shared" ref="U14:W14" si="137">$D14*T14</f>
        <v>0</v>
      </c>
      <c r="V14" s="61"/>
      <c r="W14" s="54">
        <f t="shared" si="137"/>
        <v>0</v>
      </c>
      <c r="X14" s="61"/>
      <c r="Y14" s="54">
        <f t="shared" ref="Y14" si="138">$D14*X14</f>
        <v>0</v>
      </c>
      <c r="Z14" s="58"/>
      <c r="AA14" s="44">
        <f t="shared" ref="AA14" si="139">$D14*Z14</f>
        <v>0</v>
      </c>
      <c r="AB14" s="45"/>
      <c r="AC14" s="44">
        <f t="shared" ref="AC14" si="140">$D14*AB14</f>
        <v>0</v>
      </c>
      <c r="AD14" s="45"/>
      <c r="AE14" s="44">
        <f t="shared" ref="AE14" si="141">$D14*AD14</f>
        <v>0</v>
      </c>
      <c r="AF14" s="45"/>
      <c r="AG14" s="44">
        <f t="shared" ref="AG14" si="142">$D14*AF14</f>
        <v>0</v>
      </c>
      <c r="AH14" s="45"/>
      <c r="AI14" s="44">
        <f t="shared" si="13"/>
        <v>0</v>
      </c>
      <c r="AJ14" s="45"/>
      <c r="AK14" s="44">
        <f t="shared" ref="AK14" si="143">$D14*AJ14</f>
        <v>0</v>
      </c>
      <c r="AL14" s="45"/>
      <c r="AM14" s="44">
        <f t="shared" ref="AM14" si="144">$D14*AL14</f>
        <v>0</v>
      </c>
      <c r="AN14" s="45"/>
      <c r="AO14" s="44">
        <f t="shared" ref="AO14" si="145">$D14*AN14</f>
        <v>0</v>
      </c>
      <c r="AP14" s="45"/>
      <c r="AQ14" s="44">
        <f t="shared" si="17"/>
        <v>0</v>
      </c>
      <c r="AR14" s="45"/>
      <c r="AS14" s="44">
        <f t="shared" ref="AS14" si="146">$D14*AR14</f>
        <v>0</v>
      </c>
      <c r="AT14" s="45"/>
      <c r="AU14" s="44">
        <f t="shared" ref="AU14" si="147">$D14*AT14</f>
        <v>0</v>
      </c>
      <c r="AV14" s="45"/>
      <c r="AW14" s="44">
        <f t="shared" ref="AW14" si="148">$D14*AV14</f>
        <v>0</v>
      </c>
      <c r="AX14" s="45"/>
      <c r="AY14" s="44">
        <f t="shared" si="21"/>
        <v>0</v>
      </c>
      <c r="AZ14" s="48">
        <f t="shared" si="0"/>
        <v>0</v>
      </c>
      <c r="BA14" s="44">
        <f t="shared" si="22"/>
        <v>0</v>
      </c>
    </row>
    <row r="15" spans="1:53" ht="18" customHeight="1" x14ac:dyDescent="0.25">
      <c r="A15" t="s">
        <v>82</v>
      </c>
      <c r="B15" s="155">
        <v>48</v>
      </c>
      <c r="C15" s="125" t="s">
        <v>46</v>
      </c>
      <c r="D15" s="20">
        <v>45</v>
      </c>
      <c r="E15" s="151">
        <f t="shared" si="1"/>
        <v>48</v>
      </c>
      <c r="F15" s="28" t="str">
        <f t="shared" si="2"/>
        <v>Escondidinho de Carne de Sol</v>
      </c>
      <c r="G15" s="29">
        <f t="shared" si="3"/>
        <v>45</v>
      </c>
      <c r="H15" s="62"/>
      <c r="I15" s="54">
        <f t="shared" si="4"/>
        <v>0</v>
      </c>
      <c r="J15" s="53"/>
      <c r="K15" s="54">
        <f t="shared" si="4"/>
        <v>0</v>
      </c>
      <c r="L15" s="53"/>
      <c r="M15" s="54">
        <f t="shared" ref="M15:O15" si="149">$D15*L15</f>
        <v>0</v>
      </c>
      <c r="N15" s="61"/>
      <c r="O15" s="54">
        <f t="shared" si="149"/>
        <v>0</v>
      </c>
      <c r="P15" s="61"/>
      <c r="Q15" s="54">
        <f t="shared" ref="Q15:S15" si="150">$D15*P15</f>
        <v>0</v>
      </c>
      <c r="R15" s="61"/>
      <c r="S15" s="54">
        <f t="shared" si="150"/>
        <v>0</v>
      </c>
      <c r="T15" s="61"/>
      <c r="U15" s="54">
        <f t="shared" ref="U15:W15" si="151">$D15*T15</f>
        <v>0</v>
      </c>
      <c r="V15" s="61"/>
      <c r="W15" s="54">
        <f t="shared" si="151"/>
        <v>0</v>
      </c>
      <c r="X15" s="61"/>
      <c r="Y15" s="54">
        <f t="shared" ref="Y15" si="152">$D15*X15</f>
        <v>0</v>
      </c>
      <c r="Z15" s="58"/>
      <c r="AA15" s="44">
        <f t="shared" ref="AA15" si="153">$D15*Z15</f>
        <v>0</v>
      </c>
      <c r="AB15" s="45"/>
      <c r="AC15" s="44">
        <f t="shared" ref="AC15" si="154">$D15*AB15</f>
        <v>0</v>
      </c>
      <c r="AD15" s="45"/>
      <c r="AE15" s="44">
        <f t="shared" ref="AE15" si="155">$D15*AD15</f>
        <v>0</v>
      </c>
      <c r="AF15" s="45"/>
      <c r="AG15" s="44">
        <f t="shared" ref="AG15" si="156">$D15*AF15</f>
        <v>0</v>
      </c>
      <c r="AH15" s="45"/>
      <c r="AI15" s="44">
        <f t="shared" si="13"/>
        <v>0</v>
      </c>
      <c r="AJ15" s="45"/>
      <c r="AK15" s="44">
        <f t="shared" ref="AK15" si="157">$D15*AJ15</f>
        <v>0</v>
      </c>
      <c r="AL15" s="45"/>
      <c r="AM15" s="44">
        <f t="shared" ref="AM15" si="158">$D15*AL15</f>
        <v>0</v>
      </c>
      <c r="AN15" s="45"/>
      <c r="AO15" s="44">
        <f t="shared" ref="AO15" si="159">$D15*AN15</f>
        <v>0</v>
      </c>
      <c r="AP15" s="45"/>
      <c r="AQ15" s="44">
        <f t="shared" si="17"/>
        <v>0</v>
      </c>
      <c r="AR15" s="45"/>
      <c r="AS15" s="44">
        <f t="shared" ref="AS15" si="160">$D15*AR15</f>
        <v>0</v>
      </c>
      <c r="AT15" s="45"/>
      <c r="AU15" s="44">
        <f t="shared" ref="AU15" si="161">$D15*AT15</f>
        <v>0</v>
      </c>
      <c r="AV15" s="45"/>
      <c r="AW15" s="44">
        <f t="shared" ref="AW15" si="162">$D15*AV15</f>
        <v>0</v>
      </c>
      <c r="AX15" s="45"/>
      <c r="AY15" s="44">
        <f t="shared" si="21"/>
        <v>0</v>
      </c>
      <c r="AZ15" s="48">
        <f t="shared" si="0"/>
        <v>0</v>
      </c>
      <c r="BA15" s="44">
        <f t="shared" si="22"/>
        <v>0</v>
      </c>
    </row>
    <row r="16" spans="1:53" ht="16.5" hidden="1" customHeight="1" x14ac:dyDescent="0.25">
      <c r="A16" t="s">
        <v>83</v>
      </c>
      <c r="B16" s="111">
        <v>39</v>
      </c>
      <c r="C16" s="28" t="s">
        <v>37</v>
      </c>
      <c r="D16" s="115">
        <v>17</v>
      </c>
      <c r="E16" s="151">
        <f t="shared" si="1"/>
        <v>39</v>
      </c>
      <c r="F16" s="28" t="str">
        <f t="shared" si="2"/>
        <v>Espetinho de Frango c/ Vinagrete de Feijão Verde e Farofa</v>
      </c>
      <c r="G16" s="29">
        <f t="shared" si="3"/>
        <v>17</v>
      </c>
      <c r="H16" s="62"/>
      <c r="I16" s="54">
        <f t="shared" si="4"/>
        <v>0</v>
      </c>
      <c r="J16" s="53"/>
      <c r="K16" s="54">
        <f t="shared" si="4"/>
        <v>0</v>
      </c>
      <c r="L16" s="53"/>
      <c r="M16" s="54">
        <f t="shared" ref="M16:O16" si="163">$D16*L16</f>
        <v>0</v>
      </c>
      <c r="N16" s="61"/>
      <c r="O16" s="54">
        <f t="shared" si="163"/>
        <v>0</v>
      </c>
      <c r="P16" s="61"/>
      <c r="Q16" s="54">
        <f t="shared" ref="Q16:S16" si="164">$D16*P16</f>
        <v>0</v>
      </c>
      <c r="R16" s="61"/>
      <c r="S16" s="54">
        <f t="shared" si="164"/>
        <v>0</v>
      </c>
      <c r="T16" s="61"/>
      <c r="U16" s="54">
        <f t="shared" ref="U16:W16" si="165">$D16*T16</f>
        <v>0</v>
      </c>
      <c r="V16" s="61"/>
      <c r="W16" s="54">
        <f t="shared" si="165"/>
        <v>0</v>
      </c>
      <c r="X16" s="61"/>
      <c r="Y16" s="54">
        <f t="shared" ref="Y16" si="166">$D16*X16</f>
        <v>0</v>
      </c>
      <c r="Z16" s="58"/>
      <c r="AA16" s="44">
        <f t="shared" ref="AA16" si="167">$D16*Z16</f>
        <v>0</v>
      </c>
      <c r="AB16" s="45"/>
      <c r="AC16" s="44">
        <f t="shared" ref="AC16" si="168">$D16*AB16</f>
        <v>0</v>
      </c>
      <c r="AD16" s="45"/>
      <c r="AE16" s="44">
        <f t="shared" ref="AE16" si="169">$D16*AD16</f>
        <v>0</v>
      </c>
      <c r="AF16" s="45"/>
      <c r="AG16" s="44">
        <f t="shared" ref="AG16" si="170">$D16*AF16</f>
        <v>0</v>
      </c>
      <c r="AH16" s="45"/>
      <c r="AI16" s="44">
        <f t="shared" si="13"/>
        <v>0</v>
      </c>
      <c r="AJ16" s="45"/>
      <c r="AK16" s="44">
        <f t="shared" ref="AK16" si="171">$D16*AJ16</f>
        <v>0</v>
      </c>
      <c r="AL16" s="45"/>
      <c r="AM16" s="44">
        <f t="shared" ref="AM16" si="172">$D16*AL16</f>
        <v>0</v>
      </c>
      <c r="AN16" s="45"/>
      <c r="AO16" s="44">
        <f t="shared" ref="AO16" si="173">$D16*AN16</f>
        <v>0</v>
      </c>
      <c r="AP16" s="45"/>
      <c r="AQ16" s="44">
        <f t="shared" si="17"/>
        <v>0</v>
      </c>
      <c r="AR16" s="45"/>
      <c r="AS16" s="44">
        <f t="shared" ref="AS16" si="174">$D16*AR16</f>
        <v>0</v>
      </c>
      <c r="AT16" s="45"/>
      <c r="AU16" s="44">
        <f t="shared" ref="AU16" si="175">$D16*AT16</f>
        <v>0</v>
      </c>
      <c r="AV16" s="45"/>
      <c r="AW16" s="44">
        <f t="shared" ref="AW16" si="176">$D16*AV16</f>
        <v>0</v>
      </c>
      <c r="AX16" s="45"/>
      <c r="AY16" s="44">
        <f t="shared" si="21"/>
        <v>0</v>
      </c>
      <c r="AZ16" s="48">
        <f t="shared" si="0"/>
        <v>0</v>
      </c>
      <c r="BA16" s="44">
        <f t="shared" si="22"/>
        <v>0</v>
      </c>
    </row>
    <row r="17" spans="1:53" ht="16.5" hidden="1" customHeight="1" x14ac:dyDescent="0.25">
      <c r="A17" t="s">
        <v>83</v>
      </c>
      <c r="B17" s="87">
        <v>40</v>
      </c>
      <c r="C17" s="31" t="s">
        <v>38</v>
      </c>
      <c r="D17" s="16">
        <v>17</v>
      </c>
      <c r="E17" s="151">
        <f t="shared" si="1"/>
        <v>40</v>
      </c>
      <c r="F17" s="28" t="str">
        <f t="shared" si="2"/>
        <v>Espetinho de Suino c/ Vinagrete de Feijão Verde e Farofa</v>
      </c>
      <c r="G17" s="29">
        <f t="shared" si="3"/>
        <v>17</v>
      </c>
      <c r="H17" s="62"/>
      <c r="I17" s="54">
        <f t="shared" si="4"/>
        <v>0</v>
      </c>
      <c r="J17" s="53"/>
      <c r="K17" s="54">
        <f t="shared" si="4"/>
        <v>0</v>
      </c>
      <c r="L17" s="53"/>
      <c r="M17" s="54">
        <f t="shared" ref="M17:O17" si="177">$D17*L17</f>
        <v>0</v>
      </c>
      <c r="N17" s="61"/>
      <c r="O17" s="54">
        <f t="shared" si="177"/>
        <v>0</v>
      </c>
      <c r="P17" s="61"/>
      <c r="Q17" s="54">
        <f t="shared" ref="Q17:S17" si="178">$D17*P17</f>
        <v>0</v>
      </c>
      <c r="R17" s="61"/>
      <c r="S17" s="54">
        <f t="shared" si="178"/>
        <v>0</v>
      </c>
      <c r="T17" s="61"/>
      <c r="U17" s="54">
        <f t="shared" ref="U17:W17" si="179">$D17*T17</f>
        <v>0</v>
      </c>
      <c r="V17" s="61"/>
      <c r="W17" s="54">
        <f t="shared" si="179"/>
        <v>0</v>
      </c>
      <c r="X17" s="61"/>
      <c r="Y17" s="54">
        <f t="shared" ref="Y17" si="180">$D17*X17</f>
        <v>0</v>
      </c>
      <c r="Z17" s="58"/>
      <c r="AA17" s="44">
        <f t="shared" ref="AA17" si="181">$D17*Z17</f>
        <v>0</v>
      </c>
      <c r="AB17" s="45"/>
      <c r="AC17" s="44">
        <f t="shared" ref="AC17" si="182">$D17*AB17</f>
        <v>0</v>
      </c>
      <c r="AD17" s="45"/>
      <c r="AE17" s="44">
        <f t="shared" ref="AE17" si="183">$D17*AD17</f>
        <v>0</v>
      </c>
      <c r="AF17" s="45"/>
      <c r="AG17" s="44">
        <f t="shared" ref="AG17" si="184">$D17*AF17</f>
        <v>0</v>
      </c>
      <c r="AH17" s="45"/>
      <c r="AI17" s="44">
        <f t="shared" si="13"/>
        <v>0</v>
      </c>
      <c r="AJ17" s="45"/>
      <c r="AK17" s="44">
        <f t="shared" ref="AK17" si="185">$D17*AJ17</f>
        <v>0</v>
      </c>
      <c r="AL17" s="45"/>
      <c r="AM17" s="44">
        <f t="shared" ref="AM17" si="186">$D17*AL17</f>
        <v>0</v>
      </c>
      <c r="AN17" s="45"/>
      <c r="AO17" s="44">
        <f t="shared" ref="AO17" si="187">$D17*AN17</f>
        <v>0</v>
      </c>
      <c r="AP17" s="45"/>
      <c r="AQ17" s="44">
        <f t="shared" si="17"/>
        <v>0</v>
      </c>
      <c r="AR17" s="45"/>
      <c r="AS17" s="44">
        <f t="shared" ref="AS17" si="188">$D17*AR17</f>
        <v>0</v>
      </c>
      <c r="AT17" s="45"/>
      <c r="AU17" s="44">
        <f t="shared" ref="AU17" si="189">$D17*AT17</f>
        <v>0</v>
      </c>
      <c r="AV17" s="45"/>
      <c r="AW17" s="44">
        <f t="shared" ref="AW17" si="190">$D17*AV17</f>
        <v>0</v>
      </c>
      <c r="AX17" s="45"/>
      <c r="AY17" s="44">
        <f t="shared" si="21"/>
        <v>0</v>
      </c>
      <c r="AZ17" s="48">
        <f t="shared" si="0"/>
        <v>0</v>
      </c>
      <c r="BA17" s="44">
        <f t="shared" si="22"/>
        <v>0</v>
      </c>
    </row>
    <row r="18" spans="1:53" ht="16.5" hidden="1" customHeight="1" x14ac:dyDescent="0.25">
      <c r="A18" t="s">
        <v>83</v>
      </c>
      <c r="B18" s="109">
        <v>49</v>
      </c>
      <c r="C18" s="107" t="s">
        <v>60</v>
      </c>
      <c r="D18" s="108">
        <v>40</v>
      </c>
      <c r="E18" s="151">
        <f t="shared" si="1"/>
        <v>49</v>
      </c>
      <c r="F18" s="28" t="str">
        <f t="shared" si="2"/>
        <v>Frango a Passarinho</v>
      </c>
      <c r="G18" s="29">
        <f t="shared" si="3"/>
        <v>40</v>
      </c>
      <c r="H18" s="62"/>
      <c r="I18" s="54">
        <f t="shared" si="4"/>
        <v>0</v>
      </c>
      <c r="J18" s="53"/>
      <c r="K18" s="54">
        <f t="shared" si="4"/>
        <v>0</v>
      </c>
      <c r="L18" s="53"/>
      <c r="M18" s="54">
        <f t="shared" ref="M18:O18" si="191">$D18*L18</f>
        <v>0</v>
      </c>
      <c r="N18" s="61"/>
      <c r="O18" s="54">
        <f t="shared" si="191"/>
        <v>0</v>
      </c>
      <c r="P18" s="61"/>
      <c r="Q18" s="54">
        <f t="shared" ref="Q18:S18" si="192">$D18*P18</f>
        <v>0</v>
      </c>
      <c r="R18" s="61"/>
      <c r="S18" s="54">
        <f t="shared" si="192"/>
        <v>0</v>
      </c>
      <c r="T18" s="61"/>
      <c r="U18" s="54">
        <f t="shared" ref="U18:W18" si="193">$D18*T18</f>
        <v>0</v>
      </c>
      <c r="V18" s="61"/>
      <c r="W18" s="54">
        <f t="shared" si="193"/>
        <v>0</v>
      </c>
      <c r="X18" s="61"/>
      <c r="Y18" s="54">
        <f t="shared" ref="Y18" si="194">$D18*X18</f>
        <v>0</v>
      </c>
      <c r="Z18" s="58"/>
      <c r="AA18" s="44">
        <f t="shared" ref="AA18" si="195">$D18*Z18</f>
        <v>0</v>
      </c>
      <c r="AB18" s="45"/>
      <c r="AC18" s="44">
        <f t="shared" ref="AC18" si="196">$D18*AB18</f>
        <v>0</v>
      </c>
      <c r="AD18" s="45"/>
      <c r="AE18" s="44">
        <f t="shared" ref="AE18" si="197">$D18*AD18</f>
        <v>0</v>
      </c>
      <c r="AF18" s="45"/>
      <c r="AG18" s="44">
        <f t="shared" ref="AG18" si="198">$D18*AF18</f>
        <v>0</v>
      </c>
      <c r="AH18" s="45"/>
      <c r="AI18" s="44">
        <f t="shared" si="13"/>
        <v>0</v>
      </c>
      <c r="AJ18" s="45"/>
      <c r="AK18" s="44">
        <f t="shared" ref="AK18" si="199">$D18*AJ18</f>
        <v>0</v>
      </c>
      <c r="AL18" s="45"/>
      <c r="AM18" s="44">
        <f t="shared" ref="AM18" si="200">$D18*AL18</f>
        <v>0</v>
      </c>
      <c r="AN18" s="45"/>
      <c r="AO18" s="44">
        <f t="shared" ref="AO18" si="201">$D18*AN18</f>
        <v>0</v>
      </c>
      <c r="AP18" s="45"/>
      <c r="AQ18" s="44">
        <f t="shared" si="17"/>
        <v>0</v>
      </c>
      <c r="AR18" s="45"/>
      <c r="AS18" s="44">
        <f t="shared" ref="AS18" si="202">$D18*AR18</f>
        <v>0</v>
      </c>
      <c r="AT18" s="45"/>
      <c r="AU18" s="44">
        <f t="shared" ref="AU18" si="203">$D18*AT18</f>
        <v>0</v>
      </c>
      <c r="AV18" s="45"/>
      <c r="AW18" s="44">
        <f t="shared" ref="AW18" si="204">$D18*AV18</f>
        <v>0</v>
      </c>
      <c r="AX18" s="45"/>
      <c r="AY18" s="44">
        <f t="shared" si="21"/>
        <v>0</v>
      </c>
      <c r="AZ18" s="48">
        <f t="shared" si="0"/>
        <v>0</v>
      </c>
      <c r="BA18" s="44">
        <f t="shared" si="22"/>
        <v>0</v>
      </c>
    </row>
    <row r="19" spans="1:53" ht="18" customHeight="1" x14ac:dyDescent="0.25">
      <c r="A19" t="s">
        <v>82</v>
      </c>
      <c r="B19" s="155">
        <v>24</v>
      </c>
      <c r="C19" s="125" t="s">
        <v>74</v>
      </c>
      <c r="D19" s="20">
        <v>25</v>
      </c>
      <c r="E19" s="151">
        <f t="shared" si="1"/>
        <v>24</v>
      </c>
      <c r="F19" s="28" t="str">
        <f t="shared" si="2"/>
        <v>Kibe (06 unidades)</v>
      </c>
      <c r="G19" s="29">
        <f t="shared" si="3"/>
        <v>25</v>
      </c>
      <c r="H19" s="62"/>
      <c r="I19" s="54">
        <f t="shared" si="4"/>
        <v>0</v>
      </c>
      <c r="J19" s="53"/>
      <c r="K19" s="54">
        <f t="shared" si="4"/>
        <v>0</v>
      </c>
      <c r="L19" s="53"/>
      <c r="M19" s="54">
        <f t="shared" ref="M19:O19" si="205">$D19*L19</f>
        <v>0</v>
      </c>
      <c r="N19" s="61"/>
      <c r="O19" s="54">
        <f t="shared" si="205"/>
        <v>0</v>
      </c>
      <c r="P19" s="61"/>
      <c r="Q19" s="54">
        <f t="shared" ref="Q19:S19" si="206">$D19*P19</f>
        <v>0</v>
      </c>
      <c r="R19" s="61"/>
      <c r="S19" s="54">
        <f t="shared" si="206"/>
        <v>0</v>
      </c>
      <c r="T19" s="61"/>
      <c r="U19" s="54">
        <f t="shared" ref="U19:W19" si="207">$D19*T19</f>
        <v>0</v>
      </c>
      <c r="V19" s="61"/>
      <c r="W19" s="54">
        <f t="shared" si="207"/>
        <v>0</v>
      </c>
      <c r="X19" s="61"/>
      <c r="Y19" s="54">
        <f t="shared" ref="Y19" si="208">$D19*X19</f>
        <v>0</v>
      </c>
      <c r="Z19" s="58"/>
      <c r="AA19" s="44">
        <f t="shared" ref="AA19" si="209">$D19*Z19</f>
        <v>0</v>
      </c>
      <c r="AB19" s="45"/>
      <c r="AC19" s="44">
        <f t="shared" ref="AC19" si="210">$D19*AB19</f>
        <v>0</v>
      </c>
      <c r="AD19" s="45"/>
      <c r="AE19" s="44">
        <f t="shared" ref="AE19" si="211">$D19*AD19</f>
        <v>0</v>
      </c>
      <c r="AF19" s="45"/>
      <c r="AG19" s="44">
        <f t="shared" ref="AG19" si="212">$D19*AF19</f>
        <v>0</v>
      </c>
      <c r="AH19" s="45"/>
      <c r="AI19" s="44">
        <f t="shared" si="13"/>
        <v>0</v>
      </c>
      <c r="AJ19" s="45"/>
      <c r="AK19" s="44">
        <f t="shared" ref="AK19" si="213">$D19*AJ19</f>
        <v>0</v>
      </c>
      <c r="AL19" s="45"/>
      <c r="AM19" s="44">
        <f t="shared" ref="AM19" si="214">$D19*AL19</f>
        <v>0</v>
      </c>
      <c r="AN19" s="45"/>
      <c r="AO19" s="44">
        <f t="shared" ref="AO19" si="215">$D19*AN19</f>
        <v>0</v>
      </c>
      <c r="AP19" s="45"/>
      <c r="AQ19" s="44">
        <f t="shared" si="17"/>
        <v>0</v>
      </c>
      <c r="AR19" s="45"/>
      <c r="AS19" s="44">
        <f t="shared" ref="AS19" si="216">$D19*AR19</f>
        <v>0</v>
      </c>
      <c r="AT19" s="45"/>
      <c r="AU19" s="44">
        <f t="shared" ref="AU19" si="217">$D19*AT19</f>
        <v>0</v>
      </c>
      <c r="AV19" s="45"/>
      <c r="AW19" s="44">
        <f t="shared" ref="AW19" si="218">$D19*AV19</f>
        <v>0</v>
      </c>
      <c r="AX19" s="45"/>
      <c r="AY19" s="44">
        <f t="shared" si="21"/>
        <v>0</v>
      </c>
      <c r="AZ19" s="48">
        <f t="shared" si="0"/>
        <v>0</v>
      </c>
      <c r="BA19" s="44">
        <f t="shared" si="22"/>
        <v>0</v>
      </c>
    </row>
    <row r="20" spans="1:53" ht="16.5" hidden="1" customHeight="1" x14ac:dyDescent="0.25">
      <c r="A20" t="s">
        <v>83</v>
      </c>
      <c r="B20" s="112">
        <v>50</v>
      </c>
      <c r="C20" s="113" t="s">
        <v>47</v>
      </c>
      <c r="D20" s="114">
        <v>40</v>
      </c>
      <c r="E20" s="151">
        <f t="shared" si="1"/>
        <v>50</v>
      </c>
      <c r="F20" s="28" t="str">
        <f t="shared" si="2"/>
        <v>Lagarto ao molho Madeira c/ arroz e fritas</v>
      </c>
      <c r="G20" s="29">
        <f t="shared" si="3"/>
        <v>40</v>
      </c>
      <c r="H20" s="62"/>
      <c r="I20" s="54">
        <f t="shared" si="4"/>
        <v>0</v>
      </c>
      <c r="J20" s="53"/>
      <c r="K20" s="54">
        <f t="shared" si="4"/>
        <v>0</v>
      </c>
      <c r="L20" s="53"/>
      <c r="M20" s="54">
        <f t="shared" ref="M20:O21" si="219">$D20*L20</f>
        <v>0</v>
      </c>
      <c r="N20" s="61"/>
      <c r="O20" s="54">
        <f t="shared" si="219"/>
        <v>0</v>
      </c>
      <c r="P20" s="61"/>
      <c r="Q20" s="54">
        <f t="shared" ref="Q20:S21" si="220">$D20*P20</f>
        <v>0</v>
      </c>
      <c r="R20" s="61"/>
      <c r="S20" s="54">
        <f t="shared" si="220"/>
        <v>0</v>
      </c>
      <c r="T20" s="61"/>
      <c r="U20" s="54">
        <f t="shared" ref="U20:W21" si="221">$D20*T20</f>
        <v>0</v>
      </c>
      <c r="V20" s="61"/>
      <c r="W20" s="54">
        <f t="shared" si="221"/>
        <v>0</v>
      </c>
      <c r="X20" s="61"/>
      <c r="Y20" s="54">
        <f t="shared" ref="Y20:Y21" si="222">$D20*X20</f>
        <v>0</v>
      </c>
      <c r="Z20" s="58"/>
      <c r="AA20" s="44">
        <f t="shared" ref="AA20:AA21" si="223">$D20*Z20</f>
        <v>0</v>
      </c>
      <c r="AB20" s="45"/>
      <c r="AC20" s="44">
        <f t="shared" ref="AC20:AC21" si="224">$D20*AB20</f>
        <v>0</v>
      </c>
      <c r="AD20" s="45"/>
      <c r="AE20" s="44">
        <f t="shared" ref="AE20:AE21" si="225">$D20*AD20</f>
        <v>0</v>
      </c>
      <c r="AF20" s="45"/>
      <c r="AG20" s="44">
        <f t="shared" ref="AG20:AG21" si="226">$D20*AF20</f>
        <v>0</v>
      </c>
      <c r="AH20" s="45"/>
      <c r="AI20" s="44">
        <f t="shared" si="13"/>
        <v>0</v>
      </c>
      <c r="AJ20" s="45"/>
      <c r="AK20" s="44">
        <f t="shared" ref="AK20:AK21" si="227">$D20*AJ20</f>
        <v>0</v>
      </c>
      <c r="AL20" s="45"/>
      <c r="AM20" s="44">
        <f t="shared" ref="AM20:AM21" si="228">$D20*AL20</f>
        <v>0</v>
      </c>
      <c r="AN20" s="45"/>
      <c r="AO20" s="44">
        <f t="shared" ref="AO20:AO21" si="229">$D20*AN20</f>
        <v>0</v>
      </c>
      <c r="AP20" s="45"/>
      <c r="AQ20" s="44">
        <f t="shared" si="17"/>
        <v>0</v>
      </c>
      <c r="AR20" s="45"/>
      <c r="AS20" s="44">
        <f t="shared" ref="AS20:AS21" si="230">$D20*AR20</f>
        <v>0</v>
      </c>
      <c r="AT20" s="45"/>
      <c r="AU20" s="44">
        <f t="shared" ref="AU20:AU21" si="231">$D20*AT20</f>
        <v>0</v>
      </c>
      <c r="AV20" s="45"/>
      <c r="AW20" s="44">
        <f t="shared" ref="AW20:AW21" si="232">$D20*AV20</f>
        <v>0</v>
      </c>
      <c r="AX20" s="45"/>
      <c r="AY20" s="44">
        <f t="shared" si="21"/>
        <v>0</v>
      </c>
      <c r="AZ20" s="48">
        <f t="shared" si="0"/>
        <v>0</v>
      </c>
      <c r="BA20" s="44">
        <f t="shared" si="22"/>
        <v>0</v>
      </c>
    </row>
    <row r="21" spans="1:53" ht="18" customHeight="1" x14ac:dyDescent="0.25">
      <c r="A21" t="s">
        <v>82</v>
      </c>
      <c r="B21" s="155">
        <v>51</v>
      </c>
      <c r="C21" s="125" t="s">
        <v>63</v>
      </c>
      <c r="D21" s="20">
        <v>40</v>
      </c>
      <c r="E21" s="151">
        <f t="shared" si="1"/>
        <v>51</v>
      </c>
      <c r="F21" s="28" t="str">
        <f t="shared" si="2"/>
        <v>Macaxeira Frita c/ Queijo Parmesão</v>
      </c>
      <c r="G21" s="29">
        <f t="shared" si="3"/>
        <v>40</v>
      </c>
      <c r="H21" s="62"/>
      <c r="I21" s="54">
        <f t="shared" ref="I21" si="233">$D21*H21</f>
        <v>0</v>
      </c>
      <c r="J21" s="53"/>
      <c r="K21" s="54">
        <f t="shared" ref="K21" si="234">$D21*J21</f>
        <v>0</v>
      </c>
      <c r="L21" s="53"/>
      <c r="M21" s="54">
        <f t="shared" si="219"/>
        <v>0</v>
      </c>
      <c r="N21" s="61"/>
      <c r="O21" s="54">
        <f t="shared" si="219"/>
        <v>0</v>
      </c>
      <c r="P21" s="61"/>
      <c r="Q21" s="54">
        <f t="shared" si="220"/>
        <v>0</v>
      </c>
      <c r="R21" s="61"/>
      <c r="S21" s="54">
        <f t="shared" si="220"/>
        <v>0</v>
      </c>
      <c r="T21" s="61"/>
      <c r="U21" s="54">
        <f t="shared" si="221"/>
        <v>0</v>
      </c>
      <c r="V21" s="61"/>
      <c r="W21" s="54">
        <f t="shared" si="221"/>
        <v>0</v>
      </c>
      <c r="X21" s="61"/>
      <c r="Y21" s="54">
        <f t="shared" si="222"/>
        <v>0</v>
      </c>
      <c r="Z21" s="58"/>
      <c r="AA21" s="44">
        <f t="shared" si="223"/>
        <v>0</v>
      </c>
      <c r="AB21" s="45"/>
      <c r="AC21" s="44">
        <f t="shared" si="224"/>
        <v>0</v>
      </c>
      <c r="AD21" s="45"/>
      <c r="AE21" s="44">
        <f t="shared" si="225"/>
        <v>0</v>
      </c>
      <c r="AF21" s="45"/>
      <c r="AG21" s="44">
        <f t="shared" si="226"/>
        <v>0</v>
      </c>
      <c r="AH21" s="45"/>
      <c r="AI21" s="44">
        <f t="shared" ref="AI21" si="235">$D21*AH21</f>
        <v>0</v>
      </c>
      <c r="AJ21" s="45"/>
      <c r="AK21" s="44">
        <f t="shared" si="227"/>
        <v>0</v>
      </c>
      <c r="AL21" s="45"/>
      <c r="AM21" s="44">
        <f t="shared" si="228"/>
        <v>0</v>
      </c>
      <c r="AN21" s="45"/>
      <c r="AO21" s="44">
        <f t="shared" si="229"/>
        <v>0</v>
      </c>
      <c r="AP21" s="45"/>
      <c r="AQ21" s="44">
        <f t="shared" ref="AQ21" si="236">$D21*AP21</f>
        <v>0</v>
      </c>
      <c r="AR21" s="45"/>
      <c r="AS21" s="44">
        <f t="shared" si="230"/>
        <v>0</v>
      </c>
      <c r="AT21" s="45"/>
      <c r="AU21" s="44">
        <f t="shared" si="231"/>
        <v>0</v>
      </c>
      <c r="AV21" s="45"/>
      <c r="AW21" s="44">
        <f t="shared" si="232"/>
        <v>0</v>
      </c>
      <c r="AX21" s="45"/>
      <c r="AY21" s="44">
        <f t="shared" ref="AY21" si="237">$D21*AX21</f>
        <v>0</v>
      </c>
      <c r="AZ21" s="48">
        <f t="shared" ref="AZ21" si="238">H21+J21+L21+N21+P21+R21+T21+V21+X21+Z21+AB21+AD21+AF21+AH21+AJ21+AL21+AN21+AP21+AR21+AT21+AV21+AX21</f>
        <v>0</v>
      </c>
      <c r="BA21" s="44">
        <f t="shared" ref="BA21" si="239">$D21*AZ21</f>
        <v>0</v>
      </c>
    </row>
    <row r="22" spans="1:53" ht="18" customHeight="1" x14ac:dyDescent="0.25">
      <c r="A22" t="s">
        <v>82</v>
      </c>
      <c r="B22" s="155">
        <v>52</v>
      </c>
      <c r="C22" s="125" t="s">
        <v>50</v>
      </c>
      <c r="D22" s="20">
        <v>40</v>
      </c>
      <c r="E22" s="151">
        <f t="shared" si="1"/>
        <v>52</v>
      </c>
      <c r="F22" s="28" t="str">
        <f t="shared" si="2"/>
        <v>Pastel de Camarão c/ queijo (06 unidades)</v>
      </c>
      <c r="G22" s="29">
        <f t="shared" si="3"/>
        <v>40</v>
      </c>
      <c r="H22" s="62"/>
      <c r="I22" s="54">
        <f t="shared" ref="I22" si="240">$D22*H22</f>
        <v>0</v>
      </c>
      <c r="J22" s="53"/>
      <c r="K22" s="54">
        <f t="shared" ref="K22" si="241">$D22*J22</f>
        <v>0</v>
      </c>
      <c r="L22" s="53"/>
      <c r="M22" s="54">
        <f t="shared" ref="M22" si="242">$D22*L22</f>
        <v>0</v>
      </c>
      <c r="N22" s="61"/>
      <c r="O22" s="54">
        <f t="shared" ref="O22" si="243">$D22*N22</f>
        <v>0</v>
      </c>
      <c r="P22" s="61"/>
      <c r="Q22" s="54">
        <f t="shared" ref="Q22" si="244">$D22*P22</f>
        <v>0</v>
      </c>
      <c r="R22" s="61"/>
      <c r="S22" s="54">
        <f t="shared" ref="S22" si="245">$D22*R22</f>
        <v>0</v>
      </c>
      <c r="T22" s="61"/>
      <c r="U22" s="54">
        <f t="shared" ref="U22" si="246">$D22*T22</f>
        <v>0</v>
      </c>
      <c r="V22" s="61"/>
      <c r="W22" s="54">
        <f t="shared" ref="W22" si="247">$D22*V22</f>
        <v>0</v>
      </c>
      <c r="X22" s="61"/>
      <c r="Y22" s="54">
        <f t="shared" ref="Y22" si="248">$D22*X22</f>
        <v>0</v>
      </c>
      <c r="Z22" s="58"/>
      <c r="AA22" s="44">
        <f t="shared" ref="AA22" si="249">$D22*Z22</f>
        <v>0</v>
      </c>
      <c r="AB22" s="45"/>
      <c r="AC22" s="44">
        <f t="shared" ref="AC22" si="250">$D22*AB22</f>
        <v>0</v>
      </c>
      <c r="AD22" s="45"/>
      <c r="AE22" s="44">
        <f t="shared" ref="AE22" si="251">$D22*AD22</f>
        <v>0</v>
      </c>
      <c r="AF22" s="45"/>
      <c r="AG22" s="44">
        <f t="shared" ref="AG22" si="252">$D22*AF22</f>
        <v>0</v>
      </c>
      <c r="AH22" s="45"/>
      <c r="AI22" s="44">
        <f t="shared" ref="AI22" si="253">$D22*AH22</f>
        <v>0</v>
      </c>
      <c r="AJ22" s="45"/>
      <c r="AK22" s="44">
        <f t="shared" ref="AK22" si="254">$D22*AJ22</f>
        <v>0</v>
      </c>
      <c r="AL22" s="45"/>
      <c r="AM22" s="44">
        <f t="shared" ref="AM22" si="255">$D22*AL22</f>
        <v>0</v>
      </c>
      <c r="AN22" s="45"/>
      <c r="AO22" s="44">
        <f t="shared" ref="AO22" si="256">$D22*AN22</f>
        <v>0</v>
      </c>
      <c r="AP22" s="45"/>
      <c r="AQ22" s="44">
        <f t="shared" ref="AQ22" si="257">$D22*AP22</f>
        <v>0</v>
      </c>
      <c r="AR22" s="45"/>
      <c r="AS22" s="44">
        <f t="shared" ref="AS22" si="258">$D22*AR22</f>
        <v>0</v>
      </c>
      <c r="AT22" s="45"/>
      <c r="AU22" s="44">
        <f t="shared" ref="AU22" si="259">$D22*AT22</f>
        <v>0</v>
      </c>
      <c r="AV22" s="45"/>
      <c r="AW22" s="44">
        <f t="shared" ref="AW22" si="260">$D22*AV22</f>
        <v>0</v>
      </c>
      <c r="AX22" s="45"/>
      <c r="AY22" s="44">
        <f t="shared" ref="AY22" si="261">$D22*AX22</f>
        <v>0</v>
      </c>
      <c r="AZ22" s="48">
        <f t="shared" ref="AZ22" si="262">H22+J22+L22+N22+P22+R22+T22+V22+X22+Z22+AB22+AD22+AF22+AH22+AJ22+AL22+AN22+AP22+AR22+AT22+AV22+AX22</f>
        <v>0</v>
      </c>
      <c r="BA22" s="44">
        <f t="shared" ref="BA22" si="263">$D22*AZ22</f>
        <v>0</v>
      </c>
    </row>
    <row r="23" spans="1:53" ht="18" customHeight="1" x14ac:dyDescent="0.25">
      <c r="A23" t="s">
        <v>82</v>
      </c>
      <c r="B23" s="155">
        <v>53</v>
      </c>
      <c r="C23" s="125" t="s">
        <v>78</v>
      </c>
      <c r="D23" s="20">
        <v>40</v>
      </c>
      <c r="E23" s="151">
        <f t="shared" si="1"/>
        <v>53</v>
      </c>
      <c r="F23" s="28" t="str">
        <f t="shared" si="2"/>
        <v>Pastel de Carne Moida (06 unidades)</v>
      </c>
      <c r="G23" s="29">
        <f t="shared" si="3"/>
        <v>40</v>
      </c>
      <c r="H23" s="62"/>
      <c r="I23" s="54">
        <f t="shared" ref="I23" si="264">$D23*H23</f>
        <v>0</v>
      </c>
      <c r="J23" s="53"/>
      <c r="K23" s="54">
        <f t="shared" ref="K23" si="265">$D23*J23</f>
        <v>0</v>
      </c>
      <c r="L23" s="53"/>
      <c r="M23" s="54">
        <f t="shared" ref="M23" si="266">$D23*L23</f>
        <v>0</v>
      </c>
      <c r="N23" s="61"/>
      <c r="O23" s="54">
        <f t="shared" ref="O23" si="267">$D23*N23</f>
        <v>0</v>
      </c>
      <c r="P23" s="61"/>
      <c r="Q23" s="54">
        <f t="shared" ref="Q23" si="268">$D23*P23</f>
        <v>0</v>
      </c>
      <c r="R23" s="61"/>
      <c r="S23" s="54">
        <f t="shared" ref="S23" si="269">$D23*R23</f>
        <v>0</v>
      </c>
      <c r="T23" s="61"/>
      <c r="U23" s="54">
        <f t="shared" ref="U23" si="270">$D23*T23</f>
        <v>0</v>
      </c>
      <c r="V23" s="61"/>
      <c r="W23" s="54">
        <f t="shared" ref="W23" si="271">$D23*V23</f>
        <v>0</v>
      </c>
      <c r="X23" s="61"/>
      <c r="Y23" s="54">
        <f t="shared" ref="Y23" si="272">$D23*X23</f>
        <v>0</v>
      </c>
      <c r="Z23" s="58"/>
      <c r="AA23" s="44">
        <f t="shared" ref="AA23" si="273">$D23*Z23</f>
        <v>0</v>
      </c>
      <c r="AB23" s="45"/>
      <c r="AC23" s="44">
        <f t="shared" ref="AC23" si="274">$D23*AB23</f>
        <v>0</v>
      </c>
      <c r="AD23" s="45"/>
      <c r="AE23" s="44">
        <f t="shared" ref="AE23" si="275">$D23*AD23</f>
        <v>0</v>
      </c>
      <c r="AF23" s="45"/>
      <c r="AG23" s="44">
        <f t="shared" ref="AG23" si="276">$D23*AF23</f>
        <v>0</v>
      </c>
      <c r="AH23" s="45"/>
      <c r="AI23" s="44">
        <f t="shared" ref="AI23" si="277">$D23*AH23</f>
        <v>0</v>
      </c>
      <c r="AJ23" s="45"/>
      <c r="AK23" s="44">
        <f t="shared" ref="AK23" si="278">$D23*AJ23</f>
        <v>0</v>
      </c>
      <c r="AL23" s="45"/>
      <c r="AM23" s="44">
        <f t="shared" ref="AM23" si="279">$D23*AL23</f>
        <v>0</v>
      </c>
      <c r="AN23" s="45"/>
      <c r="AO23" s="44">
        <f t="shared" ref="AO23" si="280">$D23*AN23</f>
        <v>0</v>
      </c>
      <c r="AP23" s="45"/>
      <c r="AQ23" s="44">
        <f t="shared" ref="AQ23" si="281">$D23*AP23</f>
        <v>0</v>
      </c>
      <c r="AR23" s="45"/>
      <c r="AS23" s="44">
        <f t="shared" ref="AS23" si="282">$D23*AR23</f>
        <v>0</v>
      </c>
      <c r="AT23" s="45"/>
      <c r="AU23" s="44">
        <f t="shared" ref="AU23" si="283">$D23*AT23</f>
        <v>0</v>
      </c>
      <c r="AV23" s="45"/>
      <c r="AW23" s="44">
        <f t="shared" ref="AW23" si="284">$D23*AV23</f>
        <v>0</v>
      </c>
      <c r="AX23" s="45"/>
      <c r="AY23" s="44">
        <f t="shared" ref="AY23" si="285">$D23*AX23</f>
        <v>0</v>
      </c>
      <c r="AZ23" s="48">
        <f t="shared" ref="AZ23" si="286">H23+J23+L23+N23+P23+R23+T23+V23+X23+Z23+AB23+AD23+AF23+AH23+AJ23+AL23+AN23+AP23+AR23+AT23+AV23+AX23</f>
        <v>0</v>
      </c>
      <c r="BA23" s="44">
        <f t="shared" ref="BA23" si="287">$D23*AZ23</f>
        <v>0</v>
      </c>
    </row>
    <row r="24" spans="1:53" ht="18" customHeight="1" thickBot="1" x14ac:dyDescent="0.3">
      <c r="A24" t="s">
        <v>82</v>
      </c>
      <c r="B24" s="155">
        <v>54</v>
      </c>
      <c r="C24" s="125" t="s">
        <v>66</v>
      </c>
      <c r="D24" s="20">
        <v>25</v>
      </c>
      <c r="E24" s="151">
        <f t="shared" si="1"/>
        <v>54</v>
      </c>
      <c r="F24" s="28" t="str">
        <f t="shared" si="2"/>
        <v>Polenta Frita c/ Queijo Parmesão</v>
      </c>
      <c r="G24" s="29">
        <f t="shared" si="3"/>
        <v>25</v>
      </c>
      <c r="H24" s="62"/>
      <c r="I24" s="54">
        <f t="shared" ref="I24" si="288">$D24*H24</f>
        <v>0</v>
      </c>
      <c r="J24" s="53"/>
      <c r="K24" s="54">
        <f t="shared" ref="K24" si="289">$D24*J24</f>
        <v>0</v>
      </c>
      <c r="L24" s="53"/>
      <c r="M24" s="54">
        <f t="shared" ref="M24" si="290">$D24*L24</f>
        <v>0</v>
      </c>
      <c r="N24" s="61"/>
      <c r="O24" s="54">
        <f t="shared" ref="O24" si="291">$D24*N24</f>
        <v>0</v>
      </c>
      <c r="P24" s="61"/>
      <c r="Q24" s="54">
        <f t="shared" ref="Q24" si="292">$D24*P24</f>
        <v>0</v>
      </c>
      <c r="R24" s="61"/>
      <c r="S24" s="54">
        <f t="shared" ref="S24" si="293">$D24*R24</f>
        <v>0</v>
      </c>
      <c r="T24" s="61"/>
      <c r="U24" s="54">
        <f t="shared" ref="U24" si="294">$D24*T24</f>
        <v>0</v>
      </c>
      <c r="V24" s="61"/>
      <c r="W24" s="54">
        <f t="shared" ref="W24" si="295">$D24*V24</f>
        <v>0</v>
      </c>
      <c r="X24" s="61"/>
      <c r="Y24" s="54">
        <f t="shared" ref="Y24" si="296">$D24*X24</f>
        <v>0</v>
      </c>
      <c r="Z24" s="58"/>
      <c r="AA24" s="44">
        <f t="shared" ref="AA24" si="297">$D24*Z24</f>
        <v>0</v>
      </c>
      <c r="AB24" s="45"/>
      <c r="AC24" s="44">
        <f t="shared" ref="AC24" si="298">$D24*AB24</f>
        <v>0</v>
      </c>
      <c r="AD24" s="45"/>
      <c r="AE24" s="44">
        <f t="shared" ref="AE24" si="299">$D24*AD24</f>
        <v>0</v>
      </c>
      <c r="AF24" s="45"/>
      <c r="AG24" s="44">
        <f t="shared" ref="AG24" si="300">$D24*AF24</f>
        <v>0</v>
      </c>
      <c r="AH24" s="45"/>
      <c r="AI24" s="44">
        <f t="shared" ref="AI24" si="301">$D24*AH24</f>
        <v>0</v>
      </c>
      <c r="AJ24" s="45"/>
      <c r="AK24" s="44">
        <f t="shared" ref="AK24" si="302">$D24*AJ24</f>
        <v>0</v>
      </c>
      <c r="AL24" s="45"/>
      <c r="AM24" s="44">
        <f t="shared" ref="AM24" si="303">$D24*AL24</f>
        <v>0</v>
      </c>
      <c r="AN24" s="45"/>
      <c r="AO24" s="44">
        <f t="shared" ref="AO24" si="304">$D24*AN24</f>
        <v>0</v>
      </c>
      <c r="AP24" s="45"/>
      <c r="AQ24" s="44">
        <f t="shared" ref="AQ24" si="305">$D24*AP24</f>
        <v>0</v>
      </c>
      <c r="AR24" s="45"/>
      <c r="AS24" s="44">
        <f t="shared" ref="AS24" si="306">$D24*AR24</f>
        <v>0</v>
      </c>
      <c r="AT24" s="45"/>
      <c r="AU24" s="44">
        <f t="shared" ref="AU24" si="307">$D24*AT24</f>
        <v>0</v>
      </c>
      <c r="AV24" s="45"/>
      <c r="AW24" s="44">
        <f t="shared" ref="AW24" si="308">$D24*AV24</f>
        <v>0</v>
      </c>
      <c r="AX24" s="45"/>
      <c r="AY24" s="44">
        <f t="shared" ref="AY24" si="309">$D24*AX24</f>
        <v>0</v>
      </c>
      <c r="AZ24" s="48">
        <f t="shared" ref="AZ24" si="310">H24+J24+L24+N24+P24+R24+T24+V24+X24+Z24+AB24+AD24+AF24+AH24+AJ24+AL24+AN24+AP24+AR24+AT24+AV24+AX24</f>
        <v>0</v>
      </c>
      <c r="BA24" s="44">
        <f t="shared" ref="BA24" si="311">$D24*AZ24</f>
        <v>0</v>
      </c>
    </row>
    <row r="25" spans="1:53" ht="16.5" hidden="1" customHeight="1" x14ac:dyDescent="0.3">
      <c r="A25" t="s">
        <v>83</v>
      </c>
      <c r="B25" s="111">
        <v>55</v>
      </c>
      <c r="C25" s="28" t="s">
        <v>71</v>
      </c>
      <c r="D25" s="29">
        <v>25</v>
      </c>
      <c r="E25" s="151">
        <f t="shared" si="1"/>
        <v>55</v>
      </c>
      <c r="F25" s="28" t="str">
        <f t="shared" si="2"/>
        <v>Pratinho de Vatapá de Frango c/ Arroz, Paçoca e Calabresa</v>
      </c>
      <c r="G25" s="29">
        <f t="shared" si="3"/>
        <v>25</v>
      </c>
      <c r="H25" s="62"/>
      <c r="I25" s="54">
        <f t="shared" si="4"/>
        <v>0</v>
      </c>
      <c r="J25" s="53"/>
      <c r="K25" s="54">
        <f t="shared" si="4"/>
        <v>0</v>
      </c>
      <c r="L25" s="53"/>
      <c r="M25" s="54">
        <f t="shared" ref="M25:O26" si="312">$D25*L25</f>
        <v>0</v>
      </c>
      <c r="N25" s="61"/>
      <c r="O25" s="54">
        <f t="shared" si="312"/>
        <v>0</v>
      </c>
      <c r="P25" s="61"/>
      <c r="Q25" s="54">
        <f t="shared" ref="Q25:S26" si="313">$D25*P25</f>
        <v>0</v>
      </c>
      <c r="R25" s="61"/>
      <c r="S25" s="54">
        <f t="shared" si="313"/>
        <v>0</v>
      </c>
      <c r="T25" s="61"/>
      <c r="U25" s="54">
        <f t="shared" ref="U25:W26" si="314">$D25*T25</f>
        <v>0</v>
      </c>
      <c r="V25" s="61"/>
      <c r="W25" s="54">
        <f t="shared" si="314"/>
        <v>0</v>
      </c>
      <c r="X25" s="61"/>
      <c r="Y25" s="54">
        <f t="shared" ref="Y25:Y26" si="315">$D25*X25</f>
        <v>0</v>
      </c>
      <c r="Z25" s="58"/>
      <c r="AA25" s="44">
        <f t="shared" ref="AA25:AA26" si="316">$D25*Z25</f>
        <v>0</v>
      </c>
      <c r="AB25" s="45"/>
      <c r="AC25" s="44">
        <f t="shared" ref="AC25:AC26" si="317">$D25*AB25</f>
        <v>0</v>
      </c>
      <c r="AD25" s="45"/>
      <c r="AE25" s="44">
        <f t="shared" ref="AE25:AE26" si="318">$D25*AD25</f>
        <v>0</v>
      </c>
      <c r="AF25" s="45"/>
      <c r="AG25" s="44">
        <f t="shared" ref="AG25:AG26" si="319">$D25*AF25</f>
        <v>0</v>
      </c>
      <c r="AH25" s="45"/>
      <c r="AI25" s="44">
        <f t="shared" si="13"/>
        <v>0</v>
      </c>
      <c r="AJ25" s="45"/>
      <c r="AK25" s="44">
        <f t="shared" ref="AK25:AK26" si="320">$D25*AJ25</f>
        <v>0</v>
      </c>
      <c r="AL25" s="45"/>
      <c r="AM25" s="44">
        <f t="shared" ref="AM25:AM26" si="321">$D25*AL25</f>
        <v>0</v>
      </c>
      <c r="AN25" s="45"/>
      <c r="AO25" s="44">
        <f t="shared" ref="AO25:AO26" si="322">$D25*AN25</f>
        <v>0</v>
      </c>
      <c r="AP25" s="45"/>
      <c r="AQ25" s="44">
        <f t="shared" si="17"/>
        <v>0</v>
      </c>
      <c r="AR25" s="45"/>
      <c r="AS25" s="44">
        <f t="shared" ref="AS25:AS26" si="323">$D25*AR25</f>
        <v>0</v>
      </c>
      <c r="AT25" s="45"/>
      <c r="AU25" s="44">
        <f t="shared" ref="AU25:AU26" si="324">$D25*AT25</f>
        <v>0</v>
      </c>
      <c r="AV25" s="45"/>
      <c r="AW25" s="44">
        <f t="shared" ref="AW25:AW26" si="325">$D25*AV25</f>
        <v>0</v>
      </c>
      <c r="AX25" s="45"/>
      <c r="AY25" s="44">
        <f t="shared" si="21"/>
        <v>0</v>
      </c>
      <c r="AZ25" s="48">
        <f t="shared" si="0"/>
        <v>0</v>
      </c>
      <c r="BA25" s="44">
        <f t="shared" si="22"/>
        <v>0</v>
      </c>
    </row>
    <row r="26" spans="1:53" ht="16.5" hidden="1" customHeight="1" x14ac:dyDescent="0.3">
      <c r="A26" t="s">
        <v>83</v>
      </c>
      <c r="B26" s="87">
        <v>56</v>
      </c>
      <c r="C26" s="31" t="s">
        <v>59</v>
      </c>
      <c r="D26" s="32">
        <v>40</v>
      </c>
      <c r="E26" s="151">
        <f t="shared" si="1"/>
        <v>56</v>
      </c>
      <c r="F26" s="28" t="str">
        <f t="shared" si="2"/>
        <v>Risoles de Camarão (06 unidades)</v>
      </c>
      <c r="G26" s="29">
        <f t="shared" si="3"/>
        <v>40</v>
      </c>
      <c r="H26" s="62"/>
      <c r="I26" s="54">
        <f t="shared" si="4"/>
        <v>0</v>
      </c>
      <c r="J26" s="53"/>
      <c r="K26" s="54">
        <f t="shared" si="4"/>
        <v>0</v>
      </c>
      <c r="L26" s="53"/>
      <c r="M26" s="54">
        <f t="shared" si="312"/>
        <v>0</v>
      </c>
      <c r="N26" s="61"/>
      <c r="O26" s="54">
        <f t="shared" si="312"/>
        <v>0</v>
      </c>
      <c r="P26" s="61"/>
      <c r="Q26" s="54">
        <f t="shared" si="313"/>
        <v>0</v>
      </c>
      <c r="R26" s="61"/>
      <c r="S26" s="54">
        <f t="shared" si="313"/>
        <v>0</v>
      </c>
      <c r="T26" s="61"/>
      <c r="U26" s="54">
        <f t="shared" si="314"/>
        <v>0</v>
      </c>
      <c r="V26" s="61"/>
      <c r="W26" s="54">
        <f t="shared" si="314"/>
        <v>0</v>
      </c>
      <c r="X26" s="61"/>
      <c r="Y26" s="54">
        <f t="shared" si="315"/>
        <v>0</v>
      </c>
      <c r="Z26" s="58"/>
      <c r="AA26" s="44">
        <f t="shared" si="316"/>
        <v>0</v>
      </c>
      <c r="AB26" s="45"/>
      <c r="AC26" s="44">
        <f t="shared" si="317"/>
        <v>0</v>
      </c>
      <c r="AD26" s="45"/>
      <c r="AE26" s="44">
        <f t="shared" si="318"/>
        <v>0</v>
      </c>
      <c r="AF26" s="45"/>
      <c r="AG26" s="44">
        <f t="shared" si="319"/>
        <v>0</v>
      </c>
      <c r="AH26" s="45"/>
      <c r="AI26" s="44">
        <f t="shared" si="13"/>
        <v>0</v>
      </c>
      <c r="AJ26" s="45"/>
      <c r="AK26" s="44">
        <f t="shared" si="320"/>
        <v>0</v>
      </c>
      <c r="AL26" s="45"/>
      <c r="AM26" s="44">
        <f t="shared" si="321"/>
        <v>0</v>
      </c>
      <c r="AN26" s="45"/>
      <c r="AO26" s="44">
        <f t="shared" si="322"/>
        <v>0</v>
      </c>
      <c r="AP26" s="45"/>
      <c r="AQ26" s="44">
        <f t="shared" si="17"/>
        <v>0</v>
      </c>
      <c r="AR26" s="45"/>
      <c r="AS26" s="44">
        <f t="shared" si="323"/>
        <v>0</v>
      </c>
      <c r="AT26" s="45"/>
      <c r="AU26" s="44">
        <f t="shared" si="324"/>
        <v>0</v>
      </c>
      <c r="AV26" s="45"/>
      <c r="AW26" s="44">
        <f t="shared" si="325"/>
        <v>0</v>
      </c>
      <c r="AX26" s="45"/>
      <c r="AY26" s="44">
        <f t="shared" si="21"/>
        <v>0</v>
      </c>
      <c r="AZ26" s="48">
        <f t="shared" si="0"/>
        <v>0</v>
      </c>
      <c r="BA26" s="44">
        <f t="shared" si="22"/>
        <v>0</v>
      </c>
    </row>
    <row r="27" spans="1:53" ht="16.5" hidden="1" customHeight="1" thickBot="1" x14ac:dyDescent="0.3">
      <c r="A27" t="s">
        <v>83</v>
      </c>
      <c r="B27" s="156">
        <v>28</v>
      </c>
      <c r="C27" s="119" t="s">
        <v>17</v>
      </c>
      <c r="D27" s="123">
        <v>30</v>
      </c>
      <c r="E27" s="151">
        <f t="shared" si="1"/>
        <v>28</v>
      </c>
      <c r="F27" s="28" t="str">
        <f t="shared" si="2"/>
        <v>Unha de Carangueijo (05 unidades)</v>
      </c>
      <c r="G27" s="29">
        <f t="shared" si="3"/>
        <v>30</v>
      </c>
      <c r="H27" s="62"/>
      <c r="I27" s="54">
        <f t="shared" ref="I27" si="326">$D27*H27</f>
        <v>0</v>
      </c>
      <c r="J27" s="53"/>
      <c r="K27" s="54">
        <f t="shared" ref="K27" si="327">$D27*J27</f>
        <v>0</v>
      </c>
      <c r="L27" s="53"/>
      <c r="M27" s="54">
        <f t="shared" ref="M27" si="328">$D27*L27</f>
        <v>0</v>
      </c>
      <c r="N27" s="61"/>
      <c r="O27" s="54">
        <f t="shared" ref="O27" si="329">$D27*N27</f>
        <v>0</v>
      </c>
      <c r="P27" s="61"/>
      <c r="Q27" s="54">
        <f t="shared" ref="Q27" si="330">$D27*P27</f>
        <v>0</v>
      </c>
      <c r="R27" s="61"/>
      <c r="S27" s="54">
        <f t="shared" ref="S27" si="331">$D27*R27</f>
        <v>0</v>
      </c>
      <c r="T27" s="61"/>
      <c r="U27" s="54">
        <f t="shared" ref="U27" si="332">$D27*T27</f>
        <v>0</v>
      </c>
      <c r="V27" s="61"/>
      <c r="W27" s="54">
        <f t="shared" ref="W27" si="333">$D27*V27</f>
        <v>0</v>
      </c>
      <c r="X27" s="61"/>
      <c r="Y27" s="54">
        <f t="shared" ref="Y27" si="334">$D27*X27</f>
        <v>0</v>
      </c>
      <c r="Z27" s="58"/>
      <c r="AA27" s="44">
        <f t="shared" ref="AA27" si="335">$D27*Z27</f>
        <v>0</v>
      </c>
      <c r="AB27" s="45"/>
      <c r="AC27" s="44">
        <f t="shared" ref="AC27" si="336">$D27*AB27</f>
        <v>0</v>
      </c>
      <c r="AD27" s="45"/>
      <c r="AE27" s="44">
        <f t="shared" ref="AE27" si="337">$D27*AD27</f>
        <v>0</v>
      </c>
      <c r="AF27" s="45"/>
      <c r="AG27" s="44">
        <f t="shared" ref="AG27" si="338">$D27*AF27</f>
        <v>0</v>
      </c>
      <c r="AH27" s="45"/>
      <c r="AI27" s="44">
        <f t="shared" ref="AI27" si="339">$D27*AH27</f>
        <v>0</v>
      </c>
      <c r="AJ27" s="45"/>
      <c r="AK27" s="44">
        <f t="shared" ref="AK27" si="340">$D27*AJ27</f>
        <v>0</v>
      </c>
      <c r="AL27" s="45"/>
      <c r="AM27" s="44">
        <f t="shared" ref="AM27" si="341">$D27*AL27</f>
        <v>0</v>
      </c>
      <c r="AN27" s="45"/>
      <c r="AO27" s="44">
        <f t="shared" ref="AO27" si="342">$D27*AN27</f>
        <v>0</v>
      </c>
      <c r="AP27" s="45"/>
      <c r="AQ27" s="44">
        <f t="shared" ref="AQ27" si="343">$D27*AP27</f>
        <v>0</v>
      </c>
      <c r="AR27" s="45"/>
      <c r="AS27" s="44">
        <f t="shared" ref="AS27" si="344">$D27*AR27</f>
        <v>0</v>
      </c>
      <c r="AT27" s="45"/>
      <c r="AU27" s="44">
        <f t="shared" ref="AU27" si="345">$D27*AT27</f>
        <v>0</v>
      </c>
      <c r="AV27" s="45"/>
      <c r="AW27" s="44">
        <f t="shared" ref="AW27" si="346">$D27*AV27</f>
        <v>0</v>
      </c>
      <c r="AX27" s="45"/>
      <c r="AY27" s="44">
        <f t="shared" ref="AY27" si="347">$D27*AX27</f>
        <v>0</v>
      </c>
      <c r="AZ27" s="48">
        <f t="shared" ref="AZ27" si="348">H27+J27+L27+N27+P27+R27+T27+V27+X27+Z27+AB27+AD27+AF27+AH27+AJ27+AL27+AN27+AP27+AR27+AT27+AV27+AX27</f>
        <v>0</v>
      </c>
      <c r="BA27" s="44">
        <f t="shared" ref="BA27" si="349">$D27*AZ27</f>
        <v>0</v>
      </c>
    </row>
    <row r="28" spans="1:53" ht="18" customHeight="1" thickBot="1" x14ac:dyDescent="0.3">
      <c r="A28" t="s">
        <v>82</v>
      </c>
      <c r="B28" s="146"/>
      <c r="C28" s="142" t="s">
        <v>23</v>
      </c>
      <c r="D28" s="147"/>
      <c r="E28" s="17"/>
      <c r="F28" s="18" t="s">
        <v>23</v>
      </c>
      <c r="G28" s="19"/>
      <c r="H28" s="53"/>
      <c r="I28" s="54">
        <f t="shared" si="4"/>
        <v>0</v>
      </c>
      <c r="J28" s="53"/>
      <c r="K28" s="54">
        <f t="shared" si="4"/>
        <v>0</v>
      </c>
      <c r="L28" s="53"/>
      <c r="M28" s="54">
        <f t="shared" ref="M28:O28" si="350">$D28*L28</f>
        <v>0</v>
      </c>
      <c r="N28" s="61"/>
      <c r="O28" s="54">
        <f t="shared" si="350"/>
        <v>0</v>
      </c>
      <c r="P28" s="61"/>
      <c r="Q28" s="54">
        <f t="shared" ref="Q28:S28" si="351">$D28*P28</f>
        <v>0</v>
      </c>
      <c r="R28" s="61"/>
      <c r="S28" s="54">
        <f t="shared" si="351"/>
        <v>0</v>
      </c>
      <c r="T28" s="61"/>
      <c r="U28" s="54">
        <f t="shared" ref="U28:W28" si="352">$D28*T28</f>
        <v>0</v>
      </c>
      <c r="V28" s="61"/>
      <c r="W28" s="54">
        <f t="shared" si="352"/>
        <v>0</v>
      </c>
      <c r="X28" s="61"/>
      <c r="Y28" s="54">
        <f t="shared" ref="Y28" si="353">$D28*X28</f>
        <v>0</v>
      </c>
      <c r="Z28" s="58"/>
      <c r="AA28" s="44">
        <f t="shared" ref="AA28" si="354">$D28*Z28</f>
        <v>0</v>
      </c>
      <c r="AB28" s="45"/>
      <c r="AC28" s="44">
        <f t="shared" ref="AC28" si="355">$D28*AB28</f>
        <v>0</v>
      </c>
      <c r="AD28" s="45"/>
      <c r="AE28" s="44">
        <f t="shared" ref="AE28" si="356">$D28*AD28</f>
        <v>0</v>
      </c>
      <c r="AF28" s="45"/>
      <c r="AG28" s="44">
        <f t="shared" ref="AG28" si="357">$D28*AF28</f>
        <v>0</v>
      </c>
      <c r="AH28" s="45"/>
      <c r="AI28" s="44">
        <f t="shared" si="13"/>
        <v>0</v>
      </c>
      <c r="AJ28" s="45"/>
      <c r="AK28" s="44">
        <f t="shared" ref="AK28" si="358">$D28*AJ28</f>
        <v>0</v>
      </c>
      <c r="AL28" s="45"/>
      <c r="AM28" s="44">
        <f t="shared" ref="AM28" si="359">$D28*AL28</f>
        <v>0</v>
      </c>
      <c r="AN28" s="45"/>
      <c r="AO28" s="44">
        <f t="shared" ref="AO28" si="360">$D28*AN28</f>
        <v>0</v>
      </c>
      <c r="AP28" s="45"/>
      <c r="AQ28" s="44">
        <f t="shared" si="17"/>
        <v>0</v>
      </c>
      <c r="AR28" s="45"/>
      <c r="AS28" s="44">
        <f t="shared" ref="AS28" si="361">$D28*AR28</f>
        <v>0</v>
      </c>
      <c r="AT28" s="45"/>
      <c r="AU28" s="44">
        <f t="shared" ref="AU28" si="362">$D28*AT28</f>
        <v>0</v>
      </c>
      <c r="AV28" s="45"/>
      <c r="AW28" s="44">
        <f t="shared" ref="AW28" si="363">$D28*AV28</f>
        <v>0</v>
      </c>
      <c r="AX28" s="45"/>
      <c r="AY28" s="44">
        <f t="shared" si="21"/>
        <v>0</v>
      </c>
      <c r="AZ28" s="48">
        <f t="shared" si="0"/>
        <v>0</v>
      </c>
      <c r="BA28" s="44">
        <f t="shared" si="22"/>
        <v>0</v>
      </c>
    </row>
    <row r="29" spans="1:53" ht="18" customHeight="1" x14ac:dyDescent="0.25">
      <c r="A29" t="s">
        <v>82</v>
      </c>
      <c r="B29" s="130">
        <v>7</v>
      </c>
      <c r="C29" s="131" t="s">
        <v>0</v>
      </c>
      <c r="D29" s="115">
        <v>12</v>
      </c>
      <c r="E29" s="27">
        <f t="shared" ref="E29:E33" si="364">B29</f>
        <v>7</v>
      </c>
      <c r="F29" s="28" t="str">
        <f t="shared" ref="F29:F33" si="365">C29</f>
        <v>Cachaça de Banana</v>
      </c>
      <c r="G29" s="29">
        <f t="shared" ref="G29:G33" si="366">D29</f>
        <v>12</v>
      </c>
      <c r="H29" s="53"/>
      <c r="I29" s="54">
        <f t="shared" si="4"/>
        <v>0</v>
      </c>
      <c r="J29" s="53"/>
      <c r="K29" s="54">
        <f t="shared" si="4"/>
        <v>0</v>
      </c>
      <c r="L29" s="53"/>
      <c r="M29" s="54">
        <f t="shared" ref="M29:O29" si="367">$D29*L29</f>
        <v>0</v>
      </c>
      <c r="N29" s="61"/>
      <c r="O29" s="54">
        <f t="shared" si="367"/>
        <v>0</v>
      </c>
      <c r="P29" s="61"/>
      <c r="Q29" s="54">
        <f t="shared" ref="Q29:S29" si="368">$D29*P29</f>
        <v>0</v>
      </c>
      <c r="R29" s="61"/>
      <c r="S29" s="54">
        <f t="shared" si="368"/>
        <v>0</v>
      </c>
      <c r="T29" s="61"/>
      <c r="U29" s="54">
        <f t="shared" ref="U29:W29" si="369">$D29*T29</f>
        <v>0</v>
      </c>
      <c r="V29" s="61"/>
      <c r="W29" s="54">
        <f t="shared" si="369"/>
        <v>0</v>
      </c>
      <c r="X29" s="61"/>
      <c r="Y29" s="54">
        <f t="shared" ref="Y29" si="370">$D29*X29</f>
        <v>0</v>
      </c>
      <c r="Z29" s="58"/>
      <c r="AA29" s="44">
        <f t="shared" ref="AA29" si="371">$D29*Z29</f>
        <v>0</v>
      </c>
      <c r="AB29" s="45"/>
      <c r="AC29" s="44">
        <f t="shared" ref="AC29" si="372">$D29*AB29</f>
        <v>0</v>
      </c>
      <c r="AD29" s="45"/>
      <c r="AE29" s="44">
        <f t="shared" ref="AE29" si="373">$D29*AD29</f>
        <v>0</v>
      </c>
      <c r="AF29" s="45"/>
      <c r="AG29" s="44">
        <f t="shared" ref="AG29" si="374">$D29*AF29</f>
        <v>0</v>
      </c>
      <c r="AH29" s="45"/>
      <c r="AI29" s="44">
        <f t="shared" si="13"/>
        <v>0</v>
      </c>
      <c r="AJ29" s="45"/>
      <c r="AK29" s="44">
        <f t="shared" ref="AK29" si="375">$D29*AJ29</f>
        <v>0</v>
      </c>
      <c r="AL29" s="45"/>
      <c r="AM29" s="44">
        <f t="shared" ref="AM29" si="376">$D29*AL29</f>
        <v>0</v>
      </c>
      <c r="AN29" s="45"/>
      <c r="AO29" s="44">
        <f t="shared" ref="AO29" si="377">$D29*AN29</f>
        <v>0</v>
      </c>
      <c r="AP29" s="45"/>
      <c r="AQ29" s="44">
        <f t="shared" si="17"/>
        <v>0</v>
      </c>
      <c r="AR29" s="45"/>
      <c r="AS29" s="44">
        <f t="shared" ref="AS29" si="378">$D29*AR29</f>
        <v>0</v>
      </c>
      <c r="AT29" s="45"/>
      <c r="AU29" s="44">
        <f t="shared" ref="AU29" si="379">$D29*AT29</f>
        <v>0</v>
      </c>
      <c r="AV29" s="45"/>
      <c r="AW29" s="44">
        <f t="shared" ref="AW29" si="380">$D29*AV29</f>
        <v>0</v>
      </c>
      <c r="AX29" s="45"/>
      <c r="AY29" s="44">
        <f t="shared" si="21"/>
        <v>0</v>
      </c>
      <c r="AZ29" s="48">
        <f t="shared" si="0"/>
        <v>0</v>
      </c>
      <c r="BA29" s="44">
        <f t="shared" si="22"/>
        <v>0</v>
      </c>
    </row>
    <row r="30" spans="1:53" ht="18" customHeight="1" x14ac:dyDescent="0.25">
      <c r="A30" t="s">
        <v>82</v>
      </c>
      <c r="B30" s="14">
        <v>5</v>
      </c>
      <c r="C30" s="15" t="s">
        <v>3</v>
      </c>
      <c r="D30" s="16">
        <v>12</v>
      </c>
      <c r="E30" s="27">
        <f t="shared" si="364"/>
        <v>5</v>
      </c>
      <c r="F30" s="28" t="str">
        <f t="shared" si="365"/>
        <v>Cachaça Matuta Black Blend</v>
      </c>
      <c r="G30" s="29">
        <f t="shared" si="366"/>
        <v>12</v>
      </c>
      <c r="H30" s="53"/>
      <c r="I30" s="54">
        <f t="shared" si="4"/>
        <v>0</v>
      </c>
      <c r="J30" s="53"/>
      <c r="K30" s="54">
        <f t="shared" si="4"/>
        <v>0</v>
      </c>
      <c r="L30" s="53"/>
      <c r="M30" s="54">
        <f t="shared" ref="M30:O30" si="381">$D30*L30</f>
        <v>0</v>
      </c>
      <c r="N30" s="61"/>
      <c r="O30" s="54">
        <f t="shared" si="381"/>
        <v>0</v>
      </c>
      <c r="P30" s="61"/>
      <c r="Q30" s="54">
        <f t="shared" ref="Q30:S30" si="382">$D30*P30</f>
        <v>0</v>
      </c>
      <c r="R30" s="61"/>
      <c r="S30" s="54">
        <f t="shared" si="382"/>
        <v>0</v>
      </c>
      <c r="T30" s="61"/>
      <c r="U30" s="54">
        <f t="shared" ref="U30:W30" si="383">$D30*T30</f>
        <v>0</v>
      </c>
      <c r="V30" s="61"/>
      <c r="W30" s="54">
        <f t="shared" si="383"/>
        <v>0</v>
      </c>
      <c r="X30" s="61"/>
      <c r="Y30" s="54">
        <f t="shared" ref="Y30" si="384">$D30*X30</f>
        <v>0</v>
      </c>
      <c r="Z30" s="58"/>
      <c r="AA30" s="44">
        <f t="shared" ref="AA30" si="385">$D30*Z30</f>
        <v>0</v>
      </c>
      <c r="AB30" s="45"/>
      <c r="AC30" s="44">
        <f t="shared" ref="AC30" si="386">$D30*AB30</f>
        <v>0</v>
      </c>
      <c r="AD30" s="45"/>
      <c r="AE30" s="44">
        <f t="shared" ref="AE30" si="387">$D30*AD30</f>
        <v>0</v>
      </c>
      <c r="AF30" s="45"/>
      <c r="AG30" s="44">
        <f t="shared" ref="AG30" si="388">$D30*AF30</f>
        <v>0</v>
      </c>
      <c r="AH30" s="45"/>
      <c r="AI30" s="44">
        <f t="shared" si="13"/>
        <v>0</v>
      </c>
      <c r="AJ30" s="45"/>
      <c r="AK30" s="44">
        <f t="shared" ref="AK30" si="389">$D30*AJ30</f>
        <v>0</v>
      </c>
      <c r="AL30" s="45"/>
      <c r="AM30" s="44">
        <f t="shared" ref="AM30" si="390">$D30*AL30</f>
        <v>0</v>
      </c>
      <c r="AN30" s="45"/>
      <c r="AO30" s="44">
        <f t="shared" ref="AO30" si="391">$D30*AN30</f>
        <v>0</v>
      </c>
      <c r="AP30" s="45"/>
      <c r="AQ30" s="44">
        <f t="shared" si="17"/>
        <v>0</v>
      </c>
      <c r="AR30" s="45"/>
      <c r="AS30" s="44">
        <f t="shared" ref="AS30" si="392">$D30*AR30</f>
        <v>0</v>
      </c>
      <c r="AT30" s="45"/>
      <c r="AU30" s="44">
        <f t="shared" ref="AU30" si="393">$D30*AT30</f>
        <v>0</v>
      </c>
      <c r="AV30" s="45"/>
      <c r="AW30" s="44">
        <f t="shared" ref="AW30" si="394">$D30*AV30</f>
        <v>0</v>
      </c>
      <c r="AX30" s="45"/>
      <c r="AY30" s="44">
        <f t="shared" si="21"/>
        <v>0</v>
      </c>
      <c r="AZ30" s="48">
        <f t="shared" si="0"/>
        <v>0</v>
      </c>
      <c r="BA30" s="44">
        <f t="shared" si="22"/>
        <v>0</v>
      </c>
    </row>
    <row r="31" spans="1:53" ht="18" customHeight="1" x14ac:dyDescent="0.25">
      <c r="A31" t="s">
        <v>82</v>
      </c>
      <c r="B31" s="14">
        <v>4</v>
      </c>
      <c r="C31" s="15" t="s">
        <v>4</v>
      </c>
      <c r="D31" s="16">
        <v>12</v>
      </c>
      <c r="E31" s="27">
        <f t="shared" si="364"/>
        <v>4</v>
      </c>
      <c r="F31" s="28" t="str">
        <f t="shared" si="365"/>
        <v>Cachaça Matuta Cristal</v>
      </c>
      <c r="G31" s="29">
        <f t="shared" si="366"/>
        <v>12</v>
      </c>
      <c r="H31" s="53"/>
      <c r="I31" s="54">
        <f t="shared" si="4"/>
        <v>0</v>
      </c>
      <c r="J31" s="53"/>
      <c r="K31" s="54">
        <f t="shared" si="4"/>
        <v>0</v>
      </c>
      <c r="L31" s="53"/>
      <c r="M31" s="54">
        <f t="shared" ref="M31:O31" si="395">$D31*L31</f>
        <v>0</v>
      </c>
      <c r="N31" s="61"/>
      <c r="O31" s="54">
        <f t="shared" si="395"/>
        <v>0</v>
      </c>
      <c r="P31" s="61"/>
      <c r="Q31" s="54">
        <f t="shared" ref="Q31:S31" si="396">$D31*P31</f>
        <v>0</v>
      </c>
      <c r="R31" s="61"/>
      <c r="S31" s="54">
        <f t="shared" si="396"/>
        <v>0</v>
      </c>
      <c r="T31" s="61"/>
      <c r="U31" s="54">
        <f t="shared" ref="U31:W31" si="397">$D31*T31</f>
        <v>0</v>
      </c>
      <c r="V31" s="61"/>
      <c r="W31" s="54">
        <f t="shared" si="397"/>
        <v>0</v>
      </c>
      <c r="X31" s="61"/>
      <c r="Y31" s="54">
        <f t="shared" ref="Y31" si="398">$D31*X31</f>
        <v>0</v>
      </c>
      <c r="Z31" s="58"/>
      <c r="AA31" s="44">
        <f t="shared" ref="AA31" si="399">$D31*Z31</f>
        <v>0</v>
      </c>
      <c r="AB31" s="45"/>
      <c r="AC31" s="44">
        <f t="shared" ref="AC31" si="400">$D31*AB31</f>
        <v>0</v>
      </c>
      <c r="AD31" s="45"/>
      <c r="AE31" s="44">
        <f t="shared" ref="AE31" si="401">$D31*AD31</f>
        <v>0</v>
      </c>
      <c r="AF31" s="45"/>
      <c r="AG31" s="44">
        <f t="shared" ref="AG31" si="402">$D31*AF31</f>
        <v>0</v>
      </c>
      <c r="AH31" s="45"/>
      <c r="AI31" s="44">
        <f t="shared" si="13"/>
        <v>0</v>
      </c>
      <c r="AJ31" s="45"/>
      <c r="AK31" s="44">
        <f t="shared" ref="AK31" si="403">$D31*AJ31</f>
        <v>0</v>
      </c>
      <c r="AL31" s="45"/>
      <c r="AM31" s="44">
        <f t="shared" ref="AM31" si="404">$D31*AL31</f>
        <v>0</v>
      </c>
      <c r="AN31" s="45"/>
      <c r="AO31" s="44">
        <f t="shared" ref="AO31" si="405">$D31*AN31</f>
        <v>0</v>
      </c>
      <c r="AP31" s="45"/>
      <c r="AQ31" s="44">
        <f t="shared" si="17"/>
        <v>0</v>
      </c>
      <c r="AR31" s="45"/>
      <c r="AS31" s="44">
        <f t="shared" ref="AS31" si="406">$D31*AR31</f>
        <v>0</v>
      </c>
      <c r="AT31" s="45"/>
      <c r="AU31" s="44">
        <f t="shared" ref="AU31" si="407">$D31*AT31</f>
        <v>0</v>
      </c>
      <c r="AV31" s="45"/>
      <c r="AW31" s="44">
        <f t="shared" ref="AW31" si="408">$D31*AV31</f>
        <v>0</v>
      </c>
      <c r="AX31" s="45"/>
      <c r="AY31" s="44">
        <f t="shared" si="21"/>
        <v>0</v>
      </c>
      <c r="AZ31" s="48">
        <f t="shared" si="0"/>
        <v>0</v>
      </c>
      <c r="BA31" s="44">
        <f t="shared" si="22"/>
        <v>0</v>
      </c>
    </row>
    <row r="32" spans="1:53" ht="18" customHeight="1" x14ac:dyDescent="0.25">
      <c r="A32" t="s">
        <v>82</v>
      </c>
      <c r="B32" s="14">
        <v>6</v>
      </c>
      <c r="C32" s="15" t="s">
        <v>5</v>
      </c>
      <c r="D32" s="16">
        <v>12</v>
      </c>
      <c r="E32" s="27">
        <f t="shared" si="364"/>
        <v>6</v>
      </c>
      <c r="F32" s="28" t="str">
        <f t="shared" si="365"/>
        <v>Cachaça Matuta Umburana</v>
      </c>
      <c r="G32" s="29">
        <f t="shared" si="366"/>
        <v>12</v>
      </c>
      <c r="H32" s="53"/>
      <c r="I32" s="54">
        <f t="shared" si="4"/>
        <v>0</v>
      </c>
      <c r="J32" s="53"/>
      <c r="K32" s="54">
        <f t="shared" si="4"/>
        <v>0</v>
      </c>
      <c r="L32" s="53"/>
      <c r="M32" s="54">
        <f t="shared" ref="M32:O32" si="409">$D32*L32</f>
        <v>0</v>
      </c>
      <c r="N32" s="61"/>
      <c r="O32" s="54">
        <f t="shared" si="409"/>
        <v>0</v>
      </c>
      <c r="P32" s="61"/>
      <c r="Q32" s="54">
        <f t="shared" ref="Q32:S32" si="410">$D32*P32</f>
        <v>0</v>
      </c>
      <c r="R32" s="61"/>
      <c r="S32" s="54">
        <f t="shared" si="410"/>
        <v>0</v>
      </c>
      <c r="T32" s="61"/>
      <c r="U32" s="54">
        <f t="shared" ref="U32:W32" si="411">$D32*T32</f>
        <v>0</v>
      </c>
      <c r="V32" s="61"/>
      <c r="W32" s="54">
        <f t="shared" si="411"/>
        <v>0</v>
      </c>
      <c r="X32" s="61"/>
      <c r="Y32" s="54">
        <f t="shared" ref="Y32" si="412">$D32*X32</f>
        <v>0</v>
      </c>
      <c r="Z32" s="58"/>
      <c r="AA32" s="44">
        <f t="shared" ref="AA32" si="413">$D32*Z32</f>
        <v>0</v>
      </c>
      <c r="AB32" s="45"/>
      <c r="AC32" s="44">
        <f t="shared" ref="AC32" si="414">$D32*AB32</f>
        <v>0</v>
      </c>
      <c r="AD32" s="45"/>
      <c r="AE32" s="44">
        <f t="shared" ref="AE32" si="415">$D32*AD32</f>
        <v>0</v>
      </c>
      <c r="AF32" s="45"/>
      <c r="AG32" s="44">
        <f t="shared" ref="AG32" si="416">$D32*AF32</f>
        <v>0</v>
      </c>
      <c r="AH32" s="45"/>
      <c r="AI32" s="44">
        <f t="shared" si="13"/>
        <v>0</v>
      </c>
      <c r="AJ32" s="45"/>
      <c r="AK32" s="44">
        <f t="shared" ref="AK32" si="417">$D32*AJ32</f>
        <v>0</v>
      </c>
      <c r="AL32" s="45"/>
      <c r="AM32" s="44">
        <f t="shared" ref="AM32" si="418">$D32*AL32</f>
        <v>0</v>
      </c>
      <c r="AN32" s="45"/>
      <c r="AO32" s="44">
        <f t="shared" ref="AO32" si="419">$D32*AN32</f>
        <v>0</v>
      </c>
      <c r="AP32" s="45"/>
      <c r="AQ32" s="44">
        <f t="shared" si="17"/>
        <v>0</v>
      </c>
      <c r="AR32" s="45"/>
      <c r="AS32" s="44">
        <f t="shared" ref="AS32" si="420">$D32*AR32</f>
        <v>0</v>
      </c>
      <c r="AT32" s="45"/>
      <c r="AU32" s="44">
        <f t="shared" ref="AU32" si="421">$D32*AT32</f>
        <v>0</v>
      </c>
      <c r="AV32" s="45"/>
      <c r="AW32" s="44">
        <f t="shared" ref="AW32" si="422">$D32*AV32</f>
        <v>0</v>
      </c>
      <c r="AX32" s="45"/>
      <c r="AY32" s="44">
        <f t="shared" si="21"/>
        <v>0</v>
      </c>
      <c r="AZ32" s="48">
        <f t="shared" si="0"/>
        <v>0</v>
      </c>
      <c r="BA32" s="44">
        <f t="shared" si="22"/>
        <v>0</v>
      </c>
    </row>
    <row r="33" spans="1:53" ht="18" customHeight="1" thickBot="1" x14ac:dyDescent="0.3">
      <c r="A33" t="s">
        <v>82</v>
      </c>
      <c r="B33" s="134">
        <v>19</v>
      </c>
      <c r="C33" s="135" t="s">
        <v>6</v>
      </c>
      <c r="D33" s="110">
        <v>9</v>
      </c>
      <c r="E33" s="27">
        <f t="shared" si="364"/>
        <v>19</v>
      </c>
      <c r="F33" s="28" t="str">
        <f t="shared" si="365"/>
        <v>Campari</v>
      </c>
      <c r="G33" s="29">
        <f t="shared" si="366"/>
        <v>9</v>
      </c>
      <c r="H33" s="53"/>
      <c r="I33" s="54">
        <f t="shared" si="4"/>
        <v>0</v>
      </c>
      <c r="J33" s="53"/>
      <c r="K33" s="54">
        <f t="shared" si="4"/>
        <v>0</v>
      </c>
      <c r="L33" s="53"/>
      <c r="M33" s="54">
        <f>$D33*L33</f>
        <v>0</v>
      </c>
      <c r="N33" s="61"/>
      <c r="O33" s="54">
        <f>$D33*N33</f>
        <v>0</v>
      </c>
      <c r="P33" s="61"/>
      <c r="Q33" s="54">
        <f>$D33*P33</f>
        <v>0</v>
      </c>
      <c r="R33" s="61"/>
      <c r="S33" s="54">
        <f>$D33*R33</f>
        <v>0</v>
      </c>
      <c r="T33" s="61"/>
      <c r="U33" s="54">
        <f>$D33*T33</f>
        <v>0</v>
      </c>
      <c r="V33" s="61"/>
      <c r="W33" s="54">
        <f>$D33*V33</f>
        <v>0</v>
      </c>
      <c r="X33" s="61"/>
      <c r="Y33" s="54">
        <f>$D33*X33</f>
        <v>0</v>
      </c>
      <c r="Z33" s="58"/>
      <c r="AA33" s="44">
        <f>$D33*Z33</f>
        <v>0</v>
      </c>
      <c r="AB33" s="45"/>
      <c r="AC33" s="44">
        <f>$D33*AB33</f>
        <v>0</v>
      </c>
      <c r="AD33" s="45"/>
      <c r="AE33" s="44">
        <f>$D33*AD33</f>
        <v>0</v>
      </c>
      <c r="AF33" s="45"/>
      <c r="AG33" s="44">
        <f>$D33*AF33</f>
        <v>0</v>
      </c>
      <c r="AH33" s="45"/>
      <c r="AI33" s="44">
        <f t="shared" si="13"/>
        <v>0</v>
      </c>
      <c r="AJ33" s="45"/>
      <c r="AK33" s="44">
        <f>$D33*AJ33</f>
        <v>0</v>
      </c>
      <c r="AL33" s="45"/>
      <c r="AM33" s="44">
        <f>$D33*AL33</f>
        <v>0</v>
      </c>
      <c r="AN33" s="45"/>
      <c r="AO33" s="44">
        <f>$D33*AN33</f>
        <v>0</v>
      </c>
      <c r="AP33" s="45"/>
      <c r="AQ33" s="44">
        <f t="shared" si="17"/>
        <v>0</v>
      </c>
      <c r="AR33" s="45"/>
      <c r="AS33" s="44">
        <f>$D33*AR33</f>
        <v>0</v>
      </c>
      <c r="AT33" s="45"/>
      <c r="AU33" s="44">
        <f>$D33*AT33</f>
        <v>0</v>
      </c>
      <c r="AV33" s="45"/>
      <c r="AW33" s="44">
        <f>$D33*AV33</f>
        <v>0</v>
      </c>
      <c r="AX33" s="45"/>
      <c r="AY33" s="44">
        <f t="shared" si="21"/>
        <v>0</v>
      </c>
      <c r="AZ33" s="48">
        <f t="shared" si="0"/>
        <v>0</v>
      </c>
      <c r="BA33" s="44">
        <f t="shared" si="22"/>
        <v>0</v>
      </c>
    </row>
    <row r="34" spans="1:53" ht="18" customHeight="1" thickBot="1" x14ac:dyDescent="0.3">
      <c r="A34" t="s">
        <v>82</v>
      </c>
      <c r="B34" s="146"/>
      <c r="C34" s="142" t="s">
        <v>27</v>
      </c>
      <c r="D34" s="147"/>
      <c r="E34" s="17"/>
      <c r="F34" s="18" t="s">
        <v>27</v>
      </c>
      <c r="G34" s="19"/>
      <c r="H34" s="53"/>
      <c r="I34" s="54">
        <f t="shared" si="4"/>
        <v>0</v>
      </c>
      <c r="J34" s="53"/>
      <c r="K34" s="54">
        <f t="shared" si="4"/>
        <v>0</v>
      </c>
      <c r="L34" s="53"/>
      <c r="M34" s="54">
        <f t="shared" ref="M34:O34" si="423">$D34*L34</f>
        <v>0</v>
      </c>
      <c r="N34" s="61"/>
      <c r="O34" s="54">
        <f t="shared" si="423"/>
        <v>0</v>
      </c>
      <c r="P34" s="61"/>
      <c r="Q34" s="54">
        <f t="shared" ref="Q34:S34" si="424">$D34*P34</f>
        <v>0</v>
      </c>
      <c r="R34" s="61"/>
      <c r="S34" s="54">
        <f t="shared" si="424"/>
        <v>0</v>
      </c>
      <c r="T34" s="61"/>
      <c r="U34" s="54">
        <f t="shared" ref="U34:W34" si="425">$D34*T34</f>
        <v>0</v>
      </c>
      <c r="V34" s="61"/>
      <c r="W34" s="54">
        <f t="shared" si="425"/>
        <v>0</v>
      </c>
      <c r="X34" s="61"/>
      <c r="Y34" s="54">
        <f t="shared" ref="Y34" si="426">$D34*X34</f>
        <v>0</v>
      </c>
      <c r="Z34" s="58"/>
      <c r="AA34" s="44">
        <f t="shared" ref="AA34" si="427">$D34*Z34</f>
        <v>0</v>
      </c>
      <c r="AB34" s="45"/>
      <c r="AC34" s="44">
        <f t="shared" ref="AC34" si="428">$D34*AB34</f>
        <v>0</v>
      </c>
      <c r="AD34" s="45"/>
      <c r="AE34" s="44">
        <f t="shared" ref="AE34" si="429">$D34*AD34</f>
        <v>0</v>
      </c>
      <c r="AF34" s="45"/>
      <c r="AG34" s="44">
        <f t="shared" ref="AG34" si="430">$D34*AF34</f>
        <v>0</v>
      </c>
      <c r="AH34" s="45"/>
      <c r="AI34" s="44">
        <f t="shared" si="13"/>
        <v>0</v>
      </c>
      <c r="AJ34" s="45"/>
      <c r="AK34" s="44">
        <f t="shared" ref="AK34" si="431">$D34*AJ34</f>
        <v>0</v>
      </c>
      <c r="AL34" s="45"/>
      <c r="AM34" s="44">
        <f t="shared" ref="AM34" si="432">$D34*AL34</f>
        <v>0</v>
      </c>
      <c r="AN34" s="45"/>
      <c r="AO34" s="44">
        <f t="shared" ref="AO34" si="433">$D34*AN34</f>
        <v>0</v>
      </c>
      <c r="AP34" s="45"/>
      <c r="AQ34" s="44">
        <f t="shared" si="17"/>
        <v>0</v>
      </c>
      <c r="AR34" s="45"/>
      <c r="AS34" s="44">
        <f t="shared" ref="AS34" si="434">$D34*AR34</f>
        <v>0</v>
      </c>
      <c r="AT34" s="45"/>
      <c r="AU34" s="44">
        <f t="shared" ref="AU34" si="435">$D34*AT34</f>
        <v>0</v>
      </c>
      <c r="AV34" s="45"/>
      <c r="AW34" s="44">
        <f t="shared" ref="AW34" si="436">$D34*AV34</f>
        <v>0</v>
      </c>
      <c r="AX34" s="45"/>
      <c r="AY34" s="44">
        <f t="shared" si="21"/>
        <v>0</v>
      </c>
      <c r="AZ34" s="48">
        <f t="shared" si="0"/>
        <v>0</v>
      </c>
      <c r="BA34" s="44">
        <f t="shared" si="22"/>
        <v>0</v>
      </c>
    </row>
    <row r="35" spans="1:53" ht="18" customHeight="1" x14ac:dyDescent="0.25">
      <c r="A35" t="s">
        <v>82</v>
      </c>
      <c r="B35" s="130">
        <v>11</v>
      </c>
      <c r="C35" s="131" t="s">
        <v>7</v>
      </c>
      <c r="D35" s="115">
        <v>5</v>
      </c>
      <c r="E35" s="30">
        <v>11</v>
      </c>
      <c r="F35" s="31" t="s">
        <v>7</v>
      </c>
      <c r="G35" s="32">
        <v>5</v>
      </c>
      <c r="H35" s="53"/>
      <c r="I35" s="54">
        <f t="shared" si="4"/>
        <v>0</v>
      </c>
      <c r="J35" s="53"/>
      <c r="K35" s="54">
        <f t="shared" si="4"/>
        <v>0</v>
      </c>
      <c r="L35" s="53"/>
      <c r="M35" s="54">
        <f t="shared" ref="M35:O35" si="437">$D35*L35</f>
        <v>0</v>
      </c>
      <c r="N35" s="61"/>
      <c r="O35" s="54">
        <f t="shared" si="437"/>
        <v>0</v>
      </c>
      <c r="P35" s="61"/>
      <c r="Q35" s="54">
        <f t="shared" ref="Q35:S35" si="438">$D35*P35</f>
        <v>0</v>
      </c>
      <c r="R35" s="61"/>
      <c r="S35" s="54">
        <f t="shared" si="438"/>
        <v>0</v>
      </c>
      <c r="T35" s="61"/>
      <c r="U35" s="54">
        <f t="shared" ref="U35:W35" si="439">$D35*T35</f>
        <v>0</v>
      </c>
      <c r="V35" s="61"/>
      <c r="W35" s="54">
        <f t="shared" si="439"/>
        <v>0</v>
      </c>
      <c r="X35" s="61"/>
      <c r="Y35" s="54">
        <f t="shared" ref="Y35" si="440">$D35*X35</f>
        <v>0</v>
      </c>
      <c r="Z35" s="58"/>
      <c r="AA35" s="44">
        <f t="shared" ref="AA35" si="441">$D35*Z35</f>
        <v>0</v>
      </c>
      <c r="AB35" s="45"/>
      <c r="AC35" s="44">
        <f t="shared" ref="AC35" si="442">$D35*AB35</f>
        <v>0</v>
      </c>
      <c r="AD35" s="45"/>
      <c r="AE35" s="44">
        <f t="shared" ref="AE35" si="443">$D35*AD35</f>
        <v>0</v>
      </c>
      <c r="AF35" s="45"/>
      <c r="AG35" s="44">
        <f t="shared" ref="AG35" si="444">$D35*AF35</f>
        <v>0</v>
      </c>
      <c r="AH35" s="45"/>
      <c r="AI35" s="44">
        <f t="shared" si="13"/>
        <v>0</v>
      </c>
      <c r="AJ35" s="45"/>
      <c r="AK35" s="44">
        <f t="shared" ref="AK35" si="445">$D35*AJ35</f>
        <v>0</v>
      </c>
      <c r="AL35" s="45"/>
      <c r="AM35" s="44">
        <f t="shared" ref="AM35" si="446">$D35*AL35</f>
        <v>0</v>
      </c>
      <c r="AN35" s="45"/>
      <c r="AO35" s="44">
        <f t="shared" ref="AO35" si="447">$D35*AN35</f>
        <v>0</v>
      </c>
      <c r="AP35" s="45"/>
      <c r="AQ35" s="44">
        <f t="shared" si="17"/>
        <v>0</v>
      </c>
      <c r="AR35" s="45"/>
      <c r="AS35" s="44">
        <f t="shared" ref="AS35" si="448">$D35*AR35</f>
        <v>0</v>
      </c>
      <c r="AT35" s="45"/>
      <c r="AU35" s="44">
        <f t="shared" ref="AU35" si="449">$D35*AT35</f>
        <v>0</v>
      </c>
      <c r="AV35" s="45"/>
      <c r="AW35" s="44">
        <f t="shared" ref="AW35" si="450">$D35*AV35</f>
        <v>0</v>
      </c>
      <c r="AX35" s="45"/>
      <c r="AY35" s="44">
        <f t="shared" si="21"/>
        <v>0</v>
      </c>
      <c r="AZ35" s="48">
        <f t="shared" si="0"/>
        <v>0</v>
      </c>
      <c r="BA35" s="44">
        <f t="shared" si="22"/>
        <v>0</v>
      </c>
    </row>
    <row r="36" spans="1:53" ht="18" customHeight="1" x14ac:dyDescent="0.25">
      <c r="A36" t="s">
        <v>82</v>
      </c>
      <c r="B36" s="14">
        <v>12</v>
      </c>
      <c r="C36" s="15" t="s">
        <v>8</v>
      </c>
      <c r="D36" s="16">
        <v>6</v>
      </c>
      <c r="E36" s="30">
        <v>12</v>
      </c>
      <c r="F36" s="31" t="s">
        <v>8</v>
      </c>
      <c r="G36" s="32">
        <v>6</v>
      </c>
      <c r="H36" s="53"/>
      <c r="I36" s="54">
        <f t="shared" si="4"/>
        <v>0</v>
      </c>
      <c r="J36" s="53"/>
      <c r="K36" s="54">
        <f t="shared" si="4"/>
        <v>0</v>
      </c>
      <c r="L36" s="53"/>
      <c r="M36" s="54">
        <f t="shared" ref="M36:O36" si="451">$D36*L36</f>
        <v>0</v>
      </c>
      <c r="N36" s="61"/>
      <c r="O36" s="54">
        <f t="shared" si="451"/>
        <v>0</v>
      </c>
      <c r="P36" s="61"/>
      <c r="Q36" s="54">
        <f t="shared" ref="Q36:S36" si="452">$D36*P36</f>
        <v>0</v>
      </c>
      <c r="R36" s="61"/>
      <c r="S36" s="54">
        <f t="shared" si="452"/>
        <v>0</v>
      </c>
      <c r="T36" s="61"/>
      <c r="U36" s="54">
        <f t="shared" ref="U36:W36" si="453">$D36*T36</f>
        <v>0</v>
      </c>
      <c r="V36" s="61"/>
      <c r="W36" s="54">
        <f t="shared" si="453"/>
        <v>0</v>
      </c>
      <c r="X36" s="61"/>
      <c r="Y36" s="54">
        <f t="shared" ref="Y36" si="454">$D36*X36</f>
        <v>0</v>
      </c>
      <c r="Z36" s="58"/>
      <c r="AA36" s="44">
        <f t="shared" ref="AA36" si="455">$D36*Z36</f>
        <v>0</v>
      </c>
      <c r="AB36" s="45"/>
      <c r="AC36" s="44">
        <f t="shared" ref="AC36" si="456">$D36*AB36</f>
        <v>0</v>
      </c>
      <c r="AD36" s="45"/>
      <c r="AE36" s="44">
        <f t="shared" ref="AE36" si="457">$D36*AD36</f>
        <v>0</v>
      </c>
      <c r="AF36" s="45"/>
      <c r="AG36" s="44">
        <f t="shared" ref="AG36" si="458">$D36*AF36</f>
        <v>0</v>
      </c>
      <c r="AH36" s="45"/>
      <c r="AI36" s="44">
        <f t="shared" si="13"/>
        <v>0</v>
      </c>
      <c r="AJ36" s="45"/>
      <c r="AK36" s="44">
        <f t="shared" ref="AK36" si="459">$D36*AJ36</f>
        <v>0</v>
      </c>
      <c r="AL36" s="45"/>
      <c r="AM36" s="44">
        <f t="shared" ref="AM36" si="460">$D36*AL36</f>
        <v>0</v>
      </c>
      <c r="AN36" s="45"/>
      <c r="AO36" s="44">
        <f t="shared" ref="AO36" si="461">$D36*AN36</f>
        <v>0</v>
      </c>
      <c r="AP36" s="45"/>
      <c r="AQ36" s="44">
        <f t="shared" si="17"/>
        <v>0</v>
      </c>
      <c r="AR36" s="45"/>
      <c r="AS36" s="44">
        <f t="shared" ref="AS36" si="462">$D36*AR36</f>
        <v>0</v>
      </c>
      <c r="AT36" s="45"/>
      <c r="AU36" s="44">
        <f t="shared" ref="AU36" si="463">$D36*AT36</f>
        <v>0</v>
      </c>
      <c r="AV36" s="45"/>
      <c r="AW36" s="44">
        <f t="shared" ref="AW36" si="464">$D36*AV36</f>
        <v>0</v>
      </c>
      <c r="AX36" s="45"/>
      <c r="AY36" s="44">
        <f t="shared" si="21"/>
        <v>0</v>
      </c>
      <c r="AZ36" s="48">
        <f t="shared" si="0"/>
        <v>0</v>
      </c>
      <c r="BA36" s="44">
        <f t="shared" si="22"/>
        <v>0</v>
      </c>
    </row>
    <row r="37" spans="1:53" ht="18" customHeight="1" x14ac:dyDescent="0.25">
      <c r="A37" t="s">
        <v>82</v>
      </c>
      <c r="B37" s="14">
        <v>22</v>
      </c>
      <c r="C37" s="15" t="s">
        <v>9</v>
      </c>
      <c r="D37" s="16">
        <v>8</v>
      </c>
      <c r="E37" s="30">
        <v>22</v>
      </c>
      <c r="F37" s="31" t="s">
        <v>9</v>
      </c>
      <c r="G37" s="32">
        <v>8</v>
      </c>
      <c r="H37" s="53"/>
      <c r="I37" s="54">
        <f t="shared" si="4"/>
        <v>0</v>
      </c>
      <c r="J37" s="53"/>
      <c r="K37" s="54">
        <f t="shared" si="4"/>
        <v>0</v>
      </c>
      <c r="L37" s="53"/>
      <c r="M37" s="54">
        <f t="shared" ref="M37:O37" si="465">$D37*L37</f>
        <v>0</v>
      </c>
      <c r="N37" s="61"/>
      <c r="O37" s="54">
        <f t="shared" si="465"/>
        <v>0</v>
      </c>
      <c r="P37" s="61"/>
      <c r="Q37" s="54">
        <f t="shared" ref="Q37:S37" si="466">$D37*P37</f>
        <v>0</v>
      </c>
      <c r="R37" s="61"/>
      <c r="S37" s="54">
        <f t="shared" si="466"/>
        <v>0</v>
      </c>
      <c r="T37" s="61"/>
      <c r="U37" s="54">
        <f t="shared" ref="U37:W37" si="467">$D37*T37</f>
        <v>0</v>
      </c>
      <c r="V37" s="61"/>
      <c r="W37" s="54">
        <f t="shared" si="467"/>
        <v>0</v>
      </c>
      <c r="X37" s="61"/>
      <c r="Y37" s="54">
        <f t="shared" ref="Y37" si="468">$D37*X37</f>
        <v>0</v>
      </c>
      <c r="Z37" s="58"/>
      <c r="AA37" s="44">
        <f t="shared" ref="AA37" si="469">$D37*Z37</f>
        <v>0</v>
      </c>
      <c r="AB37" s="45"/>
      <c r="AC37" s="44">
        <f t="shared" ref="AC37" si="470">$D37*AB37</f>
        <v>0</v>
      </c>
      <c r="AD37" s="45"/>
      <c r="AE37" s="44">
        <f t="shared" ref="AE37" si="471">$D37*AD37</f>
        <v>0</v>
      </c>
      <c r="AF37" s="45"/>
      <c r="AG37" s="44">
        <f t="shared" ref="AG37" si="472">$D37*AF37</f>
        <v>0</v>
      </c>
      <c r="AH37" s="45"/>
      <c r="AI37" s="44">
        <f t="shared" si="13"/>
        <v>0</v>
      </c>
      <c r="AJ37" s="45"/>
      <c r="AK37" s="44">
        <f t="shared" ref="AK37" si="473">$D37*AJ37</f>
        <v>0</v>
      </c>
      <c r="AL37" s="45"/>
      <c r="AM37" s="44">
        <f t="shared" ref="AM37" si="474">$D37*AL37</f>
        <v>0</v>
      </c>
      <c r="AN37" s="45"/>
      <c r="AO37" s="44">
        <f t="shared" ref="AO37" si="475">$D37*AN37</f>
        <v>0</v>
      </c>
      <c r="AP37" s="45"/>
      <c r="AQ37" s="44">
        <f t="shared" si="17"/>
        <v>0</v>
      </c>
      <c r="AR37" s="45"/>
      <c r="AS37" s="44">
        <f t="shared" ref="AS37" si="476">$D37*AR37</f>
        <v>0</v>
      </c>
      <c r="AT37" s="45"/>
      <c r="AU37" s="44">
        <f t="shared" ref="AU37" si="477">$D37*AT37</f>
        <v>0</v>
      </c>
      <c r="AV37" s="45"/>
      <c r="AW37" s="44">
        <f t="shared" ref="AW37" si="478">$D37*AV37</f>
        <v>0</v>
      </c>
      <c r="AX37" s="45"/>
      <c r="AY37" s="44">
        <f t="shared" si="21"/>
        <v>0</v>
      </c>
      <c r="AZ37" s="48">
        <f t="shared" si="0"/>
        <v>0</v>
      </c>
      <c r="BA37" s="44">
        <f t="shared" si="22"/>
        <v>0</v>
      </c>
    </row>
    <row r="38" spans="1:53" ht="18" customHeight="1" x14ac:dyDescent="0.25">
      <c r="A38" t="s">
        <v>82</v>
      </c>
      <c r="B38" s="14">
        <v>8</v>
      </c>
      <c r="C38" s="15" t="s">
        <v>30</v>
      </c>
      <c r="D38" s="16">
        <v>8</v>
      </c>
      <c r="E38" s="30">
        <v>8</v>
      </c>
      <c r="F38" s="31" t="s">
        <v>30</v>
      </c>
      <c r="G38" s="32">
        <v>8</v>
      </c>
      <c r="H38" s="53"/>
      <c r="I38" s="54">
        <f t="shared" si="4"/>
        <v>0</v>
      </c>
      <c r="J38" s="53"/>
      <c r="K38" s="54">
        <f t="shared" si="4"/>
        <v>0</v>
      </c>
      <c r="L38" s="53"/>
      <c r="M38" s="54">
        <f t="shared" ref="M38:O38" si="479">$D38*L38</f>
        <v>0</v>
      </c>
      <c r="N38" s="61"/>
      <c r="O38" s="54">
        <f t="shared" si="479"/>
        <v>0</v>
      </c>
      <c r="P38" s="61"/>
      <c r="Q38" s="54">
        <f t="shared" ref="Q38:S38" si="480">$D38*P38</f>
        <v>0</v>
      </c>
      <c r="R38" s="61"/>
      <c r="S38" s="54">
        <f t="shared" si="480"/>
        <v>0</v>
      </c>
      <c r="T38" s="61"/>
      <c r="U38" s="54">
        <f t="shared" ref="U38:W38" si="481">$D38*T38</f>
        <v>0</v>
      </c>
      <c r="V38" s="61"/>
      <c r="W38" s="54">
        <f t="shared" si="481"/>
        <v>0</v>
      </c>
      <c r="X38" s="61"/>
      <c r="Y38" s="54">
        <f t="shared" ref="Y38" si="482">$D38*X38</f>
        <v>0</v>
      </c>
      <c r="Z38" s="58"/>
      <c r="AA38" s="44">
        <f t="shared" ref="AA38" si="483">$D38*Z38</f>
        <v>0</v>
      </c>
      <c r="AB38" s="45"/>
      <c r="AC38" s="44">
        <f t="shared" ref="AC38" si="484">$D38*AB38</f>
        <v>0</v>
      </c>
      <c r="AD38" s="45"/>
      <c r="AE38" s="44">
        <f t="shared" ref="AE38" si="485">$D38*AD38</f>
        <v>0</v>
      </c>
      <c r="AF38" s="45"/>
      <c r="AG38" s="44">
        <f t="shared" ref="AG38" si="486">$D38*AF38</f>
        <v>0</v>
      </c>
      <c r="AH38" s="45"/>
      <c r="AI38" s="44">
        <f t="shared" si="13"/>
        <v>0</v>
      </c>
      <c r="AJ38" s="45"/>
      <c r="AK38" s="44">
        <f t="shared" ref="AK38" si="487">$D38*AJ38</f>
        <v>0</v>
      </c>
      <c r="AL38" s="45"/>
      <c r="AM38" s="44">
        <f t="shared" ref="AM38" si="488">$D38*AL38</f>
        <v>0</v>
      </c>
      <c r="AN38" s="45"/>
      <c r="AO38" s="44">
        <f t="shared" ref="AO38" si="489">$D38*AN38</f>
        <v>0</v>
      </c>
      <c r="AP38" s="45"/>
      <c r="AQ38" s="44">
        <f t="shared" si="17"/>
        <v>0</v>
      </c>
      <c r="AR38" s="45"/>
      <c r="AS38" s="44">
        <f t="shared" ref="AS38" si="490">$D38*AR38</f>
        <v>0</v>
      </c>
      <c r="AT38" s="45"/>
      <c r="AU38" s="44">
        <f t="shared" ref="AU38" si="491">$D38*AT38</f>
        <v>0</v>
      </c>
      <c r="AV38" s="45"/>
      <c r="AW38" s="44">
        <f t="shared" ref="AW38" si="492">$D38*AV38</f>
        <v>0</v>
      </c>
      <c r="AX38" s="45"/>
      <c r="AY38" s="44">
        <f t="shared" si="21"/>
        <v>0</v>
      </c>
      <c r="AZ38" s="48">
        <f t="shared" si="0"/>
        <v>0</v>
      </c>
      <c r="BA38" s="44">
        <f t="shared" si="22"/>
        <v>0</v>
      </c>
    </row>
    <row r="39" spans="1:53" ht="18" customHeight="1" x14ac:dyDescent="0.25">
      <c r="A39" t="s">
        <v>82</v>
      </c>
      <c r="B39" s="14">
        <v>9</v>
      </c>
      <c r="C39" s="15" t="s">
        <v>10</v>
      </c>
      <c r="D39" s="16">
        <v>8</v>
      </c>
      <c r="E39" s="30">
        <v>9</v>
      </c>
      <c r="F39" s="31" t="s">
        <v>10</v>
      </c>
      <c r="G39" s="32">
        <v>8</v>
      </c>
      <c r="H39" s="53"/>
      <c r="I39" s="54">
        <f t="shared" si="4"/>
        <v>0</v>
      </c>
      <c r="J39" s="53"/>
      <c r="K39" s="54">
        <f t="shared" si="4"/>
        <v>0</v>
      </c>
      <c r="L39" s="53"/>
      <c r="M39" s="54">
        <f t="shared" ref="M39:O39" si="493">$D39*L39</f>
        <v>0</v>
      </c>
      <c r="N39" s="61"/>
      <c r="O39" s="54">
        <f t="shared" si="493"/>
        <v>0</v>
      </c>
      <c r="P39" s="61"/>
      <c r="Q39" s="54">
        <f t="shared" ref="Q39:S39" si="494">$D39*P39</f>
        <v>0</v>
      </c>
      <c r="R39" s="61"/>
      <c r="S39" s="54">
        <f t="shared" si="494"/>
        <v>0</v>
      </c>
      <c r="T39" s="61"/>
      <c r="U39" s="54">
        <f t="shared" ref="U39:W39" si="495">$D39*T39</f>
        <v>0</v>
      </c>
      <c r="V39" s="61"/>
      <c r="W39" s="54">
        <f t="shared" si="495"/>
        <v>0</v>
      </c>
      <c r="X39" s="61"/>
      <c r="Y39" s="54">
        <f t="shared" ref="Y39" si="496">$D39*X39</f>
        <v>0</v>
      </c>
      <c r="Z39" s="58"/>
      <c r="AA39" s="44">
        <f t="shared" ref="AA39" si="497">$D39*Z39</f>
        <v>0</v>
      </c>
      <c r="AB39" s="45"/>
      <c r="AC39" s="44">
        <f t="shared" ref="AC39" si="498">$D39*AB39</f>
        <v>0</v>
      </c>
      <c r="AD39" s="45"/>
      <c r="AE39" s="44">
        <f t="shared" ref="AE39" si="499">$D39*AD39</f>
        <v>0</v>
      </c>
      <c r="AF39" s="45"/>
      <c r="AG39" s="44">
        <f t="shared" ref="AG39" si="500">$D39*AF39</f>
        <v>0</v>
      </c>
      <c r="AH39" s="45"/>
      <c r="AI39" s="44">
        <f t="shared" si="13"/>
        <v>0</v>
      </c>
      <c r="AJ39" s="45"/>
      <c r="AK39" s="44">
        <f t="shared" ref="AK39" si="501">$D39*AJ39</f>
        <v>0</v>
      </c>
      <c r="AL39" s="45"/>
      <c r="AM39" s="44">
        <f t="shared" ref="AM39" si="502">$D39*AL39</f>
        <v>0</v>
      </c>
      <c r="AN39" s="45"/>
      <c r="AO39" s="44">
        <f t="shared" ref="AO39" si="503">$D39*AN39</f>
        <v>0</v>
      </c>
      <c r="AP39" s="45"/>
      <c r="AQ39" s="44">
        <f t="shared" si="17"/>
        <v>0</v>
      </c>
      <c r="AR39" s="45"/>
      <c r="AS39" s="44">
        <f t="shared" ref="AS39" si="504">$D39*AR39</f>
        <v>0</v>
      </c>
      <c r="AT39" s="45"/>
      <c r="AU39" s="44">
        <f t="shared" ref="AU39" si="505">$D39*AT39</f>
        <v>0</v>
      </c>
      <c r="AV39" s="45"/>
      <c r="AW39" s="44">
        <f t="shared" ref="AW39" si="506">$D39*AV39</f>
        <v>0</v>
      </c>
      <c r="AX39" s="45"/>
      <c r="AY39" s="44">
        <f t="shared" si="21"/>
        <v>0</v>
      </c>
      <c r="AZ39" s="48">
        <f t="shared" si="0"/>
        <v>0</v>
      </c>
      <c r="BA39" s="44">
        <f t="shared" si="22"/>
        <v>0</v>
      </c>
    </row>
    <row r="40" spans="1:53" ht="18" customHeight="1" x14ac:dyDescent="0.25">
      <c r="A40" t="s">
        <v>82</v>
      </c>
      <c r="B40" s="14">
        <v>43</v>
      </c>
      <c r="C40" s="15" t="s">
        <v>43</v>
      </c>
      <c r="D40" s="16">
        <v>8</v>
      </c>
      <c r="E40" s="30">
        <v>43</v>
      </c>
      <c r="F40" s="31" t="s">
        <v>43</v>
      </c>
      <c r="G40" s="32">
        <v>8</v>
      </c>
      <c r="H40" s="53"/>
      <c r="I40" s="54">
        <f t="shared" si="4"/>
        <v>0</v>
      </c>
      <c r="J40" s="53"/>
      <c r="K40" s="54">
        <f t="shared" si="4"/>
        <v>0</v>
      </c>
      <c r="L40" s="53"/>
      <c r="M40" s="54">
        <f t="shared" ref="M40:O40" si="507">$D40*L40</f>
        <v>0</v>
      </c>
      <c r="N40" s="61"/>
      <c r="O40" s="54">
        <f t="shared" si="507"/>
        <v>0</v>
      </c>
      <c r="P40" s="61"/>
      <c r="Q40" s="54">
        <f t="shared" ref="Q40:S40" si="508">$D40*P40</f>
        <v>0</v>
      </c>
      <c r="R40" s="61"/>
      <c r="S40" s="54">
        <f t="shared" si="508"/>
        <v>0</v>
      </c>
      <c r="T40" s="61"/>
      <c r="U40" s="54">
        <f t="shared" ref="U40:W40" si="509">$D40*T40</f>
        <v>0</v>
      </c>
      <c r="V40" s="61"/>
      <c r="W40" s="54">
        <f t="shared" si="509"/>
        <v>0</v>
      </c>
      <c r="X40" s="61"/>
      <c r="Y40" s="54">
        <f t="shared" ref="Y40" si="510">$D40*X40</f>
        <v>0</v>
      </c>
      <c r="Z40" s="58"/>
      <c r="AA40" s="44">
        <f t="shared" ref="AA40" si="511">$D40*Z40</f>
        <v>0</v>
      </c>
      <c r="AB40" s="45"/>
      <c r="AC40" s="44">
        <f t="shared" ref="AC40" si="512">$D40*AB40</f>
        <v>0</v>
      </c>
      <c r="AD40" s="45"/>
      <c r="AE40" s="44">
        <f t="shared" ref="AE40" si="513">$D40*AD40</f>
        <v>0</v>
      </c>
      <c r="AF40" s="45"/>
      <c r="AG40" s="44">
        <f t="shared" ref="AG40" si="514">$D40*AF40</f>
        <v>0</v>
      </c>
      <c r="AH40" s="45"/>
      <c r="AI40" s="44">
        <f t="shared" si="13"/>
        <v>0</v>
      </c>
      <c r="AJ40" s="45"/>
      <c r="AK40" s="44">
        <f t="shared" ref="AK40" si="515">$D40*AJ40</f>
        <v>0</v>
      </c>
      <c r="AL40" s="45"/>
      <c r="AM40" s="44">
        <f t="shared" ref="AM40" si="516">$D40*AL40</f>
        <v>0</v>
      </c>
      <c r="AN40" s="45"/>
      <c r="AO40" s="44">
        <f t="shared" ref="AO40" si="517">$D40*AN40</f>
        <v>0</v>
      </c>
      <c r="AP40" s="45"/>
      <c r="AQ40" s="44">
        <f t="shared" si="17"/>
        <v>0</v>
      </c>
      <c r="AR40" s="45"/>
      <c r="AS40" s="44">
        <f t="shared" ref="AS40" si="518">$D40*AR40</f>
        <v>0</v>
      </c>
      <c r="AT40" s="45"/>
      <c r="AU40" s="44">
        <f t="shared" ref="AU40" si="519">$D40*AT40</f>
        <v>0</v>
      </c>
      <c r="AV40" s="45"/>
      <c r="AW40" s="44">
        <f t="shared" ref="AW40" si="520">$D40*AV40</f>
        <v>0</v>
      </c>
      <c r="AX40" s="45"/>
      <c r="AY40" s="44">
        <f t="shared" si="21"/>
        <v>0</v>
      </c>
      <c r="AZ40" s="48">
        <f t="shared" si="0"/>
        <v>0</v>
      </c>
      <c r="BA40" s="44">
        <f t="shared" si="22"/>
        <v>0</v>
      </c>
    </row>
    <row r="41" spans="1:53" ht="18" customHeight="1" x14ac:dyDescent="0.25">
      <c r="A41" t="s">
        <v>82</v>
      </c>
      <c r="B41" s="14">
        <v>10</v>
      </c>
      <c r="C41" s="15" t="s">
        <v>42</v>
      </c>
      <c r="D41" s="16">
        <v>8</v>
      </c>
      <c r="E41" s="30">
        <v>10</v>
      </c>
      <c r="F41" s="31" t="s">
        <v>42</v>
      </c>
      <c r="G41" s="32">
        <v>8</v>
      </c>
      <c r="H41" s="53"/>
      <c r="I41" s="54">
        <f t="shared" si="4"/>
        <v>0</v>
      </c>
      <c r="J41" s="53"/>
      <c r="K41" s="54">
        <f t="shared" si="4"/>
        <v>0</v>
      </c>
      <c r="L41" s="53"/>
      <c r="M41" s="54">
        <f t="shared" ref="M41:O41" si="521">$D41*L41</f>
        <v>0</v>
      </c>
      <c r="N41" s="61"/>
      <c r="O41" s="54">
        <f t="shared" si="521"/>
        <v>0</v>
      </c>
      <c r="P41" s="61"/>
      <c r="Q41" s="54">
        <f t="shared" ref="Q41:S41" si="522">$D41*P41</f>
        <v>0</v>
      </c>
      <c r="R41" s="61"/>
      <c r="S41" s="54">
        <f t="shared" si="522"/>
        <v>0</v>
      </c>
      <c r="T41" s="61"/>
      <c r="U41" s="54">
        <f t="shared" ref="U41:W41" si="523">$D41*T41</f>
        <v>0</v>
      </c>
      <c r="V41" s="61"/>
      <c r="W41" s="54">
        <f t="shared" si="523"/>
        <v>0</v>
      </c>
      <c r="X41" s="61"/>
      <c r="Y41" s="54">
        <f t="shared" ref="Y41" si="524">$D41*X41</f>
        <v>0</v>
      </c>
      <c r="Z41" s="58"/>
      <c r="AA41" s="44">
        <f t="shared" ref="AA41" si="525">$D41*Z41</f>
        <v>0</v>
      </c>
      <c r="AB41" s="45"/>
      <c r="AC41" s="44">
        <f t="shared" ref="AC41" si="526">$D41*AB41</f>
        <v>0</v>
      </c>
      <c r="AD41" s="45"/>
      <c r="AE41" s="44">
        <f t="shared" ref="AE41" si="527">$D41*AD41</f>
        <v>0</v>
      </c>
      <c r="AF41" s="45"/>
      <c r="AG41" s="44">
        <f t="shared" ref="AG41" si="528">$D41*AF41</f>
        <v>0</v>
      </c>
      <c r="AH41" s="45"/>
      <c r="AI41" s="44">
        <f t="shared" si="13"/>
        <v>0</v>
      </c>
      <c r="AJ41" s="45"/>
      <c r="AK41" s="44">
        <f t="shared" ref="AK41" si="529">$D41*AJ41</f>
        <v>0</v>
      </c>
      <c r="AL41" s="45"/>
      <c r="AM41" s="44">
        <f t="shared" ref="AM41" si="530">$D41*AL41</f>
        <v>0</v>
      </c>
      <c r="AN41" s="45"/>
      <c r="AO41" s="44">
        <f t="shared" ref="AO41" si="531">$D41*AN41</f>
        <v>0</v>
      </c>
      <c r="AP41" s="45"/>
      <c r="AQ41" s="44">
        <f t="shared" si="17"/>
        <v>0</v>
      </c>
      <c r="AR41" s="45"/>
      <c r="AS41" s="44">
        <f t="shared" ref="AS41" si="532">$D41*AR41</f>
        <v>0</v>
      </c>
      <c r="AT41" s="45"/>
      <c r="AU41" s="44">
        <f t="shared" ref="AU41" si="533">$D41*AT41</f>
        <v>0</v>
      </c>
      <c r="AV41" s="45"/>
      <c r="AW41" s="44">
        <f t="shared" ref="AW41" si="534">$D41*AV41</f>
        <v>0</v>
      </c>
      <c r="AX41" s="45"/>
      <c r="AY41" s="44">
        <f t="shared" si="21"/>
        <v>0</v>
      </c>
      <c r="AZ41" s="48">
        <f t="shared" si="0"/>
        <v>0</v>
      </c>
      <c r="BA41" s="44">
        <f t="shared" si="22"/>
        <v>0</v>
      </c>
    </row>
    <row r="42" spans="1:53" ht="18" customHeight="1" x14ac:dyDescent="0.25">
      <c r="A42" t="s">
        <v>82</v>
      </c>
      <c r="B42" s="14">
        <v>13</v>
      </c>
      <c r="C42" s="15" t="s">
        <v>29</v>
      </c>
      <c r="D42" s="16">
        <v>17</v>
      </c>
      <c r="E42" s="30">
        <v>13</v>
      </c>
      <c r="F42" s="31" t="s">
        <v>29</v>
      </c>
      <c r="G42" s="32">
        <v>17</v>
      </c>
      <c r="H42" s="53"/>
      <c r="I42" s="54">
        <f t="shared" si="4"/>
        <v>0</v>
      </c>
      <c r="J42" s="53"/>
      <c r="K42" s="54">
        <f t="shared" si="4"/>
        <v>0</v>
      </c>
      <c r="L42" s="53"/>
      <c r="M42" s="54">
        <f t="shared" ref="M42:O42" si="535">$D42*L42</f>
        <v>0</v>
      </c>
      <c r="N42" s="61"/>
      <c r="O42" s="54">
        <f t="shared" si="535"/>
        <v>0</v>
      </c>
      <c r="P42" s="61"/>
      <c r="Q42" s="54">
        <f t="shared" ref="Q42:S42" si="536">$D42*P42</f>
        <v>0</v>
      </c>
      <c r="R42" s="61"/>
      <c r="S42" s="54">
        <f t="shared" si="536"/>
        <v>0</v>
      </c>
      <c r="T42" s="61"/>
      <c r="U42" s="54">
        <f t="shared" ref="U42:W42" si="537">$D42*T42</f>
        <v>0</v>
      </c>
      <c r="V42" s="61"/>
      <c r="W42" s="54">
        <f t="shared" si="537"/>
        <v>0</v>
      </c>
      <c r="X42" s="61"/>
      <c r="Y42" s="54">
        <f t="shared" ref="Y42" si="538">$D42*X42</f>
        <v>0</v>
      </c>
      <c r="Z42" s="58"/>
      <c r="AA42" s="44">
        <f t="shared" ref="AA42" si="539">$D42*Z42</f>
        <v>0</v>
      </c>
      <c r="AB42" s="45"/>
      <c r="AC42" s="44">
        <f t="shared" ref="AC42" si="540">$D42*AB42</f>
        <v>0</v>
      </c>
      <c r="AD42" s="45"/>
      <c r="AE42" s="44">
        <f t="shared" ref="AE42" si="541">$D42*AD42</f>
        <v>0</v>
      </c>
      <c r="AF42" s="45"/>
      <c r="AG42" s="44">
        <f t="shared" ref="AG42" si="542">$D42*AF42</f>
        <v>0</v>
      </c>
      <c r="AH42" s="45"/>
      <c r="AI42" s="44">
        <f t="shared" si="13"/>
        <v>0</v>
      </c>
      <c r="AJ42" s="45"/>
      <c r="AK42" s="44">
        <f t="shared" ref="AK42" si="543">$D42*AJ42</f>
        <v>0</v>
      </c>
      <c r="AL42" s="45"/>
      <c r="AM42" s="44">
        <f t="shared" ref="AM42" si="544">$D42*AL42</f>
        <v>0</v>
      </c>
      <c r="AN42" s="45"/>
      <c r="AO42" s="44">
        <f t="shared" ref="AO42" si="545">$D42*AN42</f>
        <v>0</v>
      </c>
      <c r="AP42" s="45"/>
      <c r="AQ42" s="44">
        <f t="shared" si="17"/>
        <v>0</v>
      </c>
      <c r="AR42" s="45"/>
      <c r="AS42" s="44">
        <f t="shared" ref="AS42" si="546">$D42*AR42</f>
        <v>0</v>
      </c>
      <c r="AT42" s="45"/>
      <c r="AU42" s="44">
        <f t="shared" ref="AU42" si="547">$D42*AT42</f>
        <v>0</v>
      </c>
      <c r="AV42" s="45"/>
      <c r="AW42" s="44">
        <f t="shared" ref="AW42" si="548">$D42*AV42</f>
        <v>0</v>
      </c>
      <c r="AX42" s="45"/>
      <c r="AY42" s="44">
        <f t="shared" si="21"/>
        <v>0</v>
      </c>
      <c r="AZ42" s="48">
        <f t="shared" si="0"/>
        <v>0</v>
      </c>
      <c r="BA42" s="44">
        <f t="shared" si="22"/>
        <v>0</v>
      </c>
    </row>
    <row r="43" spans="1:53" ht="18" customHeight="1" thickBot="1" x14ac:dyDescent="0.3">
      <c r="A43" t="s">
        <v>82</v>
      </c>
      <c r="B43" s="134">
        <v>14</v>
      </c>
      <c r="C43" s="135" t="s">
        <v>11</v>
      </c>
      <c r="D43" s="110">
        <v>12</v>
      </c>
      <c r="E43" s="14">
        <v>14</v>
      </c>
      <c r="F43" s="15" t="s">
        <v>11</v>
      </c>
      <c r="G43" s="16">
        <v>12</v>
      </c>
      <c r="H43" s="53"/>
      <c r="I43" s="54">
        <f t="shared" si="4"/>
        <v>0</v>
      </c>
      <c r="J43" s="53"/>
      <c r="K43" s="54">
        <f t="shared" si="4"/>
        <v>0</v>
      </c>
      <c r="L43" s="53"/>
      <c r="M43" s="54">
        <f t="shared" ref="M43:O43" si="549">$D43*L43</f>
        <v>0</v>
      </c>
      <c r="N43" s="61"/>
      <c r="O43" s="54">
        <f t="shared" si="549"/>
        <v>0</v>
      </c>
      <c r="P43" s="61"/>
      <c r="Q43" s="54">
        <f t="shared" ref="Q43:S43" si="550">$D43*P43</f>
        <v>0</v>
      </c>
      <c r="R43" s="61"/>
      <c r="S43" s="54">
        <f t="shared" si="550"/>
        <v>0</v>
      </c>
      <c r="T43" s="61"/>
      <c r="U43" s="54">
        <f t="shared" ref="U43:W43" si="551">$D43*T43</f>
        <v>0</v>
      </c>
      <c r="V43" s="61"/>
      <c r="W43" s="54">
        <f t="shared" si="551"/>
        <v>0</v>
      </c>
      <c r="X43" s="61"/>
      <c r="Y43" s="54">
        <f t="shared" ref="Y43" si="552">$D43*X43</f>
        <v>0</v>
      </c>
      <c r="Z43" s="58"/>
      <c r="AA43" s="44">
        <f t="shared" ref="AA43" si="553">$D43*Z43</f>
        <v>0</v>
      </c>
      <c r="AB43" s="45"/>
      <c r="AC43" s="44">
        <f t="shared" ref="AC43" si="554">$D43*AB43</f>
        <v>0</v>
      </c>
      <c r="AD43" s="45"/>
      <c r="AE43" s="44">
        <f t="shared" ref="AE43" si="555">$D43*AD43</f>
        <v>0</v>
      </c>
      <c r="AF43" s="45"/>
      <c r="AG43" s="44">
        <f t="shared" ref="AG43" si="556">$D43*AF43</f>
        <v>0</v>
      </c>
      <c r="AH43" s="45"/>
      <c r="AI43" s="44">
        <f t="shared" si="13"/>
        <v>0</v>
      </c>
      <c r="AJ43" s="45"/>
      <c r="AK43" s="44">
        <f t="shared" ref="AK43" si="557">$D43*AJ43</f>
        <v>0</v>
      </c>
      <c r="AL43" s="45"/>
      <c r="AM43" s="44">
        <f t="shared" ref="AM43" si="558">$D43*AL43</f>
        <v>0</v>
      </c>
      <c r="AN43" s="45"/>
      <c r="AO43" s="44">
        <f t="shared" ref="AO43" si="559">$D43*AN43</f>
        <v>0</v>
      </c>
      <c r="AP43" s="45"/>
      <c r="AQ43" s="44">
        <f t="shared" si="17"/>
        <v>0</v>
      </c>
      <c r="AR43" s="45"/>
      <c r="AS43" s="44">
        <f t="shared" ref="AS43" si="560">$D43*AR43</f>
        <v>0</v>
      </c>
      <c r="AT43" s="45"/>
      <c r="AU43" s="44">
        <f t="shared" ref="AU43" si="561">$D43*AT43</f>
        <v>0</v>
      </c>
      <c r="AV43" s="45"/>
      <c r="AW43" s="44">
        <f t="shared" ref="AW43" si="562">$D43*AV43</f>
        <v>0</v>
      </c>
      <c r="AX43" s="45"/>
      <c r="AY43" s="44">
        <f t="shared" si="21"/>
        <v>0</v>
      </c>
      <c r="AZ43" s="48">
        <f t="shared" si="0"/>
        <v>0</v>
      </c>
      <c r="BA43" s="44">
        <f t="shared" si="22"/>
        <v>0</v>
      </c>
    </row>
    <row r="44" spans="1:53" ht="18" customHeight="1" thickBot="1" x14ac:dyDescent="0.3">
      <c r="A44" t="s">
        <v>82</v>
      </c>
      <c r="B44" s="146"/>
      <c r="C44" s="142" t="s">
        <v>24</v>
      </c>
      <c r="D44" s="147"/>
      <c r="E44" s="39"/>
      <c r="F44" s="40" t="s">
        <v>24</v>
      </c>
      <c r="G44" s="41"/>
      <c r="H44" s="53"/>
      <c r="I44" s="54">
        <f t="shared" si="4"/>
        <v>0</v>
      </c>
      <c r="J44" s="53"/>
      <c r="K44" s="54">
        <f t="shared" si="4"/>
        <v>0</v>
      </c>
      <c r="L44" s="53"/>
      <c r="M44" s="54">
        <f t="shared" ref="M44:O44" si="563">$D44*L44</f>
        <v>0</v>
      </c>
      <c r="N44" s="61"/>
      <c r="O44" s="54">
        <f t="shared" si="563"/>
        <v>0</v>
      </c>
      <c r="P44" s="61"/>
      <c r="Q44" s="54">
        <f t="shared" ref="Q44:S44" si="564">$D44*P44</f>
        <v>0</v>
      </c>
      <c r="R44" s="61"/>
      <c r="S44" s="54">
        <f t="shared" si="564"/>
        <v>0</v>
      </c>
      <c r="T44" s="61"/>
      <c r="U44" s="54">
        <f t="shared" ref="U44:W44" si="565">$D44*T44</f>
        <v>0</v>
      </c>
      <c r="V44" s="61"/>
      <c r="W44" s="54">
        <f t="shared" si="565"/>
        <v>0</v>
      </c>
      <c r="X44" s="61"/>
      <c r="Y44" s="54">
        <f t="shared" ref="Y44" si="566">$D44*X44</f>
        <v>0</v>
      </c>
      <c r="Z44" s="58"/>
      <c r="AA44" s="44">
        <f t="shared" ref="AA44" si="567">$D44*Z44</f>
        <v>0</v>
      </c>
      <c r="AB44" s="45"/>
      <c r="AC44" s="44">
        <f t="shared" ref="AC44" si="568">$D44*AB44</f>
        <v>0</v>
      </c>
      <c r="AD44" s="45"/>
      <c r="AE44" s="44">
        <f t="shared" ref="AE44" si="569">$D44*AD44</f>
        <v>0</v>
      </c>
      <c r="AF44" s="45"/>
      <c r="AG44" s="44">
        <f t="shared" ref="AG44" si="570">$D44*AF44</f>
        <v>0</v>
      </c>
      <c r="AH44" s="45"/>
      <c r="AI44" s="44">
        <f t="shared" si="13"/>
        <v>0</v>
      </c>
      <c r="AJ44" s="45"/>
      <c r="AK44" s="44">
        <f t="shared" ref="AK44" si="571">$D44*AJ44</f>
        <v>0</v>
      </c>
      <c r="AL44" s="45"/>
      <c r="AM44" s="44">
        <f t="shared" ref="AM44" si="572">$D44*AL44</f>
        <v>0</v>
      </c>
      <c r="AN44" s="45"/>
      <c r="AO44" s="44">
        <f t="shared" ref="AO44" si="573">$D44*AN44</f>
        <v>0</v>
      </c>
      <c r="AP44" s="45"/>
      <c r="AQ44" s="44">
        <f t="shared" si="17"/>
        <v>0</v>
      </c>
      <c r="AR44" s="45"/>
      <c r="AS44" s="44">
        <f t="shared" ref="AS44" si="574">$D44*AR44</f>
        <v>0</v>
      </c>
      <c r="AT44" s="45"/>
      <c r="AU44" s="44">
        <f t="shared" ref="AU44" si="575">$D44*AT44</f>
        <v>0</v>
      </c>
      <c r="AV44" s="45"/>
      <c r="AW44" s="44">
        <f t="shared" ref="AW44" si="576">$D44*AV44</f>
        <v>0</v>
      </c>
      <c r="AX44" s="45"/>
      <c r="AY44" s="44">
        <f t="shared" si="21"/>
        <v>0</v>
      </c>
      <c r="AZ44" s="48">
        <f t="shared" si="0"/>
        <v>0</v>
      </c>
      <c r="BA44" s="44">
        <f t="shared" si="22"/>
        <v>0</v>
      </c>
    </row>
    <row r="45" spans="1:53" ht="18" customHeight="1" x14ac:dyDescent="0.25">
      <c r="A45" t="s">
        <v>82</v>
      </c>
      <c r="B45" s="130">
        <v>16</v>
      </c>
      <c r="C45" s="131" t="s">
        <v>12</v>
      </c>
      <c r="D45" s="115">
        <v>12</v>
      </c>
      <c r="E45" s="30">
        <f>B45</f>
        <v>16</v>
      </c>
      <c r="F45" s="31" t="str">
        <f>C45</f>
        <v>Cerveja Budweiser</v>
      </c>
      <c r="G45" s="32">
        <f>D45</f>
        <v>12</v>
      </c>
      <c r="H45" s="53"/>
      <c r="I45" s="54">
        <f t="shared" si="4"/>
        <v>0</v>
      </c>
      <c r="J45" s="53"/>
      <c r="K45" s="54">
        <f t="shared" si="4"/>
        <v>0</v>
      </c>
      <c r="L45" s="53"/>
      <c r="M45" s="54">
        <f t="shared" ref="M45:O45" si="577">$D45*L45</f>
        <v>0</v>
      </c>
      <c r="N45" s="61"/>
      <c r="O45" s="54">
        <f t="shared" si="577"/>
        <v>0</v>
      </c>
      <c r="P45" s="61"/>
      <c r="Q45" s="54">
        <f t="shared" ref="Q45:S45" si="578">$D45*P45</f>
        <v>0</v>
      </c>
      <c r="R45" s="61"/>
      <c r="S45" s="54">
        <f t="shared" si="578"/>
        <v>0</v>
      </c>
      <c r="T45" s="61"/>
      <c r="U45" s="54">
        <f t="shared" ref="U45:W45" si="579">$D45*T45</f>
        <v>0</v>
      </c>
      <c r="V45" s="61"/>
      <c r="W45" s="54">
        <f t="shared" si="579"/>
        <v>0</v>
      </c>
      <c r="X45" s="61"/>
      <c r="Y45" s="54">
        <f t="shared" ref="Y45" si="580">$D45*X45</f>
        <v>0</v>
      </c>
      <c r="Z45" s="58"/>
      <c r="AA45" s="44">
        <f t="shared" ref="AA45" si="581">$D45*Z45</f>
        <v>0</v>
      </c>
      <c r="AB45" s="45"/>
      <c r="AC45" s="44">
        <f t="shared" ref="AC45" si="582">$D45*AB45</f>
        <v>0</v>
      </c>
      <c r="AD45" s="45"/>
      <c r="AE45" s="44">
        <f t="shared" ref="AE45" si="583">$D45*AD45</f>
        <v>0</v>
      </c>
      <c r="AF45" s="45"/>
      <c r="AG45" s="44">
        <f t="shared" ref="AG45" si="584">$D45*AF45</f>
        <v>0</v>
      </c>
      <c r="AH45" s="45"/>
      <c r="AI45" s="44">
        <f t="shared" si="13"/>
        <v>0</v>
      </c>
      <c r="AJ45" s="45"/>
      <c r="AK45" s="44">
        <f t="shared" ref="AK45" si="585">$D45*AJ45</f>
        <v>0</v>
      </c>
      <c r="AL45" s="45"/>
      <c r="AM45" s="44">
        <f t="shared" ref="AM45" si="586">$D45*AL45</f>
        <v>0</v>
      </c>
      <c r="AN45" s="45"/>
      <c r="AO45" s="44">
        <f t="shared" ref="AO45" si="587">$D45*AN45</f>
        <v>0</v>
      </c>
      <c r="AP45" s="45"/>
      <c r="AQ45" s="44">
        <f t="shared" si="17"/>
        <v>0</v>
      </c>
      <c r="AR45" s="45"/>
      <c r="AS45" s="44">
        <f t="shared" ref="AS45" si="588">$D45*AR45</f>
        <v>0</v>
      </c>
      <c r="AT45" s="45"/>
      <c r="AU45" s="44">
        <f t="shared" ref="AU45" si="589">$D45*AT45</f>
        <v>0</v>
      </c>
      <c r="AV45" s="45"/>
      <c r="AW45" s="44">
        <f t="shared" ref="AW45" si="590">$D45*AV45</f>
        <v>0</v>
      </c>
      <c r="AX45" s="45"/>
      <c r="AY45" s="44">
        <f t="shared" si="21"/>
        <v>0</v>
      </c>
      <c r="AZ45" s="48">
        <f t="shared" si="0"/>
        <v>0</v>
      </c>
      <c r="BA45" s="44">
        <f t="shared" si="22"/>
        <v>0</v>
      </c>
    </row>
    <row r="46" spans="1:53" ht="18" customHeight="1" x14ac:dyDescent="0.25">
      <c r="A46" t="s">
        <v>82</v>
      </c>
      <c r="B46" s="14">
        <v>57</v>
      </c>
      <c r="C46" s="15" t="s">
        <v>75</v>
      </c>
      <c r="D46" s="16">
        <v>12</v>
      </c>
      <c r="E46" s="30">
        <f t="shared" ref="E46:E47" si="591">B46</f>
        <v>57</v>
      </c>
      <c r="F46" s="31" t="str">
        <f t="shared" ref="F46:F47" si="592">C46</f>
        <v>Cerveja Budweiser ZERO</v>
      </c>
      <c r="G46" s="32">
        <f t="shared" ref="G46:G47" si="593">D46</f>
        <v>12</v>
      </c>
      <c r="H46" s="53"/>
      <c r="I46" s="54">
        <f t="shared" ref="I46" si="594">$D46*H46</f>
        <v>0</v>
      </c>
      <c r="J46" s="53"/>
      <c r="K46" s="54">
        <f t="shared" ref="K46" si="595">$D46*J46</f>
        <v>0</v>
      </c>
      <c r="L46" s="53"/>
      <c r="M46" s="54">
        <f t="shared" ref="M46" si="596">$D46*L46</f>
        <v>0</v>
      </c>
      <c r="N46" s="61"/>
      <c r="O46" s="54">
        <f t="shared" ref="O46" si="597">$D46*N46</f>
        <v>0</v>
      </c>
      <c r="P46" s="61"/>
      <c r="Q46" s="54">
        <f t="shared" ref="Q46" si="598">$D46*P46</f>
        <v>0</v>
      </c>
      <c r="R46" s="61"/>
      <c r="S46" s="54">
        <f t="shared" ref="S46" si="599">$D46*R46</f>
        <v>0</v>
      </c>
      <c r="T46" s="61"/>
      <c r="U46" s="54">
        <f t="shared" ref="U46" si="600">$D46*T46</f>
        <v>0</v>
      </c>
      <c r="V46" s="61"/>
      <c r="W46" s="54">
        <f t="shared" ref="W46" si="601">$D46*V46</f>
        <v>0</v>
      </c>
      <c r="X46" s="61"/>
      <c r="Y46" s="54">
        <f t="shared" ref="Y46" si="602">$D46*X46</f>
        <v>0</v>
      </c>
      <c r="Z46" s="58"/>
      <c r="AA46" s="44">
        <f t="shared" ref="AA46" si="603">$D46*Z46</f>
        <v>0</v>
      </c>
      <c r="AB46" s="45"/>
      <c r="AC46" s="44">
        <f t="shared" ref="AC46" si="604">$D46*AB46</f>
        <v>0</v>
      </c>
      <c r="AD46" s="45"/>
      <c r="AE46" s="44">
        <f t="shared" ref="AE46" si="605">$D46*AD46</f>
        <v>0</v>
      </c>
      <c r="AF46" s="45"/>
      <c r="AG46" s="44">
        <f t="shared" ref="AG46" si="606">$D46*AF46</f>
        <v>0</v>
      </c>
      <c r="AH46" s="45"/>
      <c r="AI46" s="44">
        <f t="shared" ref="AI46" si="607">$D46*AH46</f>
        <v>0</v>
      </c>
      <c r="AJ46" s="45"/>
      <c r="AK46" s="44">
        <f t="shared" ref="AK46" si="608">$D46*AJ46</f>
        <v>0</v>
      </c>
      <c r="AL46" s="45"/>
      <c r="AM46" s="44">
        <f t="shared" ref="AM46" si="609">$D46*AL46</f>
        <v>0</v>
      </c>
      <c r="AN46" s="45"/>
      <c r="AO46" s="44">
        <f t="shared" ref="AO46" si="610">$D46*AN46</f>
        <v>0</v>
      </c>
      <c r="AP46" s="45"/>
      <c r="AQ46" s="44">
        <f t="shared" ref="AQ46" si="611">$D46*AP46</f>
        <v>0</v>
      </c>
      <c r="AR46" s="45"/>
      <c r="AS46" s="44">
        <f t="shared" ref="AS46" si="612">$D46*AR46</f>
        <v>0</v>
      </c>
      <c r="AT46" s="45"/>
      <c r="AU46" s="44">
        <f t="shared" ref="AU46" si="613">$D46*AT46</f>
        <v>0</v>
      </c>
      <c r="AV46" s="45"/>
      <c r="AW46" s="44">
        <f t="shared" ref="AW46" si="614">$D46*AV46</f>
        <v>0</v>
      </c>
      <c r="AX46" s="45"/>
      <c r="AY46" s="44">
        <f t="shared" ref="AY46" si="615">$D46*AX46</f>
        <v>0</v>
      </c>
      <c r="AZ46" s="48">
        <f t="shared" ref="AZ46" si="616">H46+J46+L46+N46+P46+R46+T46+V46+X46+Z46+AB46+AD46+AF46+AH46+AJ46+AL46+AN46+AP46+AR46+AT46+AV46+AX46</f>
        <v>0</v>
      </c>
      <c r="BA46" s="44">
        <f t="shared" ref="BA46" si="617">$D46*AZ46</f>
        <v>0</v>
      </c>
    </row>
    <row r="47" spans="1:53" ht="18" customHeight="1" thickBot="1" x14ac:dyDescent="0.3">
      <c r="A47" t="s">
        <v>82</v>
      </c>
      <c r="B47" s="134">
        <v>15</v>
      </c>
      <c r="C47" s="135" t="s">
        <v>13</v>
      </c>
      <c r="D47" s="110">
        <v>12</v>
      </c>
      <c r="E47" s="30">
        <f t="shared" si="591"/>
        <v>15</v>
      </c>
      <c r="F47" s="31" t="str">
        <f t="shared" si="592"/>
        <v>Cerveja Heineken</v>
      </c>
      <c r="G47" s="32">
        <f t="shared" si="593"/>
        <v>12</v>
      </c>
      <c r="H47" s="53"/>
      <c r="I47" s="54">
        <f t="shared" si="4"/>
        <v>0</v>
      </c>
      <c r="J47" s="53"/>
      <c r="K47" s="54">
        <f t="shared" si="4"/>
        <v>0</v>
      </c>
      <c r="L47" s="59"/>
      <c r="M47" s="54">
        <f t="shared" ref="M47:O47" si="618">$D47*L47</f>
        <v>0</v>
      </c>
      <c r="N47" s="61"/>
      <c r="O47" s="54">
        <f t="shared" si="618"/>
        <v>0</v>
      </c>
      <c r="P47" s="61"/>
      <c r="Q47" s="54">
        <f t="shared" ref="Q47:S47" si="619">$D47*P47</f>
        <v>0</v>
      </c>
      <c r="R47" s="61"/>
      <c r="S47" s="54">
        <f t="shared" si="619"/>
        <v>0</v>
      </c>
      <c r="T47" s="61"/>
      <c r="U47" s="54">
        <f t="shared" ref="U47:W47" si="620">$D47*T47</f>
        <v>0</v>
      </c>
      <c r="V47" s="61"/>
      <c r="W47" s="54">
        <f t="shared" si="620"/>
        <v>0</v>
      </c>
      <c r="X47" s="61"/>
      <c r="Y47" s="54">
        <f t="shared" ref="Y47" si="621">$D47*X47</f>
        <v>0</v>
      </c>
      <c r="Z47" s="58"/>
      <c r="AA47" s="44">
        <f t="shared" ref="AA47" si="622">$D47*Z47</f>
        <v>0</v>
      </c>
      <c r="AB47" s="45"/>
      <c r="AC47" s="44">
        <f t="shared" ref="AC47" si="623">$D47*AB47</f>
        <v>0</v>
      </c>
      <c r="AD47" s="45"/>
      <c r="AE47" s="44">
        <f t="shared" ref="AE47" si="624">$D47*AD47</f>
        <v>0</v>
      </c>
      <c r="AF47" s="45"/>
      <c r="AG47" s="44">
        <f t="shared" ref="AG47" si="625">$D47*AF47</f>
        <v>0</v>
      </c>
      <c r="AH47" s="45"/>
      <c r="AI47" s="44">
        <f t="shared" si="13"/>
        <v>0</v>
      </c>
      <c r="AJ47" s="45"/>
      <c r="AK47" s="44">
        <f t="shared" ref="AK47" si="626">$D47*AJ47</f>
        <v>0</v>
      </c>
      <c r="AL47" s="45"/>
      <c r="AM47" s="44">
        <f t="shared" ref="AM47" si="627">$D47*AL47</f>
        <v>0</v>
      </c>
      <c r="AN47" s="45"/>
      <c r="AO47" s="44">
        <f t="shared" ref="AO47" si="628">$D47*AN47</f>
        <v>0</v>
      </c>
      <c r="AP47" s="45"/>
      <c r="AQ47" s="44">
        <f t="shared" si="17"/>
        <v>0</v>
      </c>
      <c r="AR47" s="45"/>
      <c r="AS47" s="44">
        <f t="shared" ref="AS47" si="629">$D47*AR47</f>
        <v>0</v>
      </c>
      <c r="AT47" s="45"/>
      <c r="AU47" s="44">
        <f t="shared" ref="AU47" si="630">$D47*AT47</f>
        <v>0</v>
      </c>
      <c r="AV47" s="45"/>
      <c r="AW47" s="44">
        <f t="shared" ref="AW47" si="631">$D47*AV47</f>
        <v>0</v>
      </c>
      <c r="AX47" s="45"/>
      <c r="AY47" s="44">
        <f t="shared" si="21"/>
        <v>0</v>
      </c>
      <c r="AZ47" s="48">
        <f t="shared" si="0"/>
        <v>0</v>
      </c>
      <c r="BA47" s="44">
        <f t="shared" si="22"/>
        <v>0</v>
      </c>
    </row>
    <row r="48" spans="1:53" ht="18.75" customHeight="1" thickBot="1" x14ac:dyDescent="0.3">
      <c r="A48" t="s">
        <v>82</v>
      </c>
      <c r="B48" s="136"/>
      <c r="C48" s="137" t="s">
        <v>25</v>
      </c>
      <c r="D48" s="138"/>
      <c r="E48" s="132"/>
      <c r="F48" s="40" t="s">
        <v>25</v>
      </c>
      <c r="G48" s="41"/>
      <c r="H48" s="53"/>
      <c r="I48" s="54">
        <f t="shared" si="4"/>
        <v>0</v>
      </c>
      <c r="J48" s="53"/>
      <c r="K48" s="54">
        <f t="shared" si="4"/>
        <v>0</v>
      </c>
      <c r="L48" s="53"/>
      <c r="M48" s="54">
        <f t="shared" ref="M48:O48" si="632">$D48*L48</f>
        <v>0</v>
      </c>
      <c r="N48" s="61"/>
      <c r="O48" s="54">
        <f t="shared" si="632"/>
        <v>0</v>
      </c>
      <c r="P48" s="61"/>
      <c r="Q48" s="54">
        <f t="shared" ref="Q48:S48" si="633">$D48*P48</f>
        <v>0</v>
      </c>
      <c r="R48" s="61"/>
      <c r="S48" s="54">
        <f t="shared" si="633"/>
        <v>0</v>
      </c>
      <c r="T48" s="61"/>
      <c r="U48" s="54">
        <f t="shared" ref="U48:W48" si="634">$D48*T48</f>
        <v>0</v>
      </c>
      <c r="V48" s="61"/>
      <c r="W48" s="54">
        <f t="shared" si="634"/>
        <v>0</v>
      </c>
      <c r="X48" s="61"/>
      <c r="Y48" s="54">
        <f t="shared" ref="Y48" si="635">$D48*X48</f>
        <v>0</v>
      </c>
      <c r="Z48" s="58"/>
      <c r="AA48" s="44">
        <f t="shared" ref="AA48" si="636">$D48*Z48</f>
        <v>0</v>
      </c>
      <c r="AB48" s="45"/>
      <c r="AC48" s="44">
        <f t="shared" ref="AC48" si="637">$D48*AB48</f>
        <v>0</v>
      </c>
      <c r="AD48" s="45"/>
      <c r="AE48" s="44">
        <f t="shared" ref="AE48" si="638">$D48*AD48</f>
        <v>0</v>
      </c>
      <c r="AF48" s="45"/>
      <c r="AG48" s="44">
        <f t="shared" ref="AG48" si="639">$D48*AF48</f>
        <v>0</v>
      </c>
      <c r="AH48" s="45"/>
      <c r="AI48" s="44">
        <f t="shared" si="13"/>
        <v>0</v>
      </c>
      <c r="AJ48" s="45"/>
      <c r="AK48" s="44">
        <f t="shared" ref="AK48" si="640">$D48*AJ48</f>
        <v>0</v>
      </c>
      <c r="AL48" s="45"/>
      <c r="AM48" s="44">
        <f t="shared" ref="AM48" si="641">$D48*AL48</f>
        <v>0</v>
      </c>
      <c r="AN48" s="45"/>
      <c r="AO48" s="44">
        <f t="shared" ref="AO48" si="642">$D48*AN48</f>
        <v>0</v>
      </c>
      <c r="AP48" s="45"/>
      <c r="AQ48" s="44">
        <f t="shared" si="17"/>
        <v>0</v>
      </c>
      <c r="AR48" s="45"/>
      <c r="AS48" s="44">
        <f t="shared" ref="AS48" si="643">$D48*AR48</f>
        <v>0</v>
      </c>
      <c r="AT48" s="45"/>
      <c r="AU48" s="44">
        <f t="shared" ref="AU48" si="644">$D48*AT48</f>
        <v>0</v>
      </c>
      <c r="AV48" s="45"/>
      <c r="AW48" s="44">
        <f t="shared" ref="AW48" si="645">$D48*AV48</f>
        <v>0</v>
      </c>
      <c r="AX48" s="45"/>
      <c r="AY48" s="44">
        <f t="shared" si="21"/>
        <v>0</v>
      </c>
      <c r="AZ48" s="48">
        <f t="shared" si="0"/>
        <v>0</v>
      </c>
      <c r="BA48" s="44">
        <f t="shared" si="22"/>
        <v>0</v>
      </c>
    </row>
    <row r="49" spans="1:53" ht="18" customHeight="1" x14ac:dyDescent="0.25">
      <c r="A49" t="s">
        <v>82</v>
      </c>
      <c r="B49" s="139">
        <v>31</v>
      </c>
      <c r="C49" s="140" t="s">
        <v>31</v>
      </c>
      <c r="D49" s="141">
        <v>15</v>
      </c>
      <c r="E49" s="129">
        <f t="shared" ref="E49:E56" si="646">B49</f>
        <v>31</v>
      </c>
      <c r="F49" s="31" t="str">
        <f t="shared" ref="F49:F56" si="647">C49</f>
        <v>Gin Beefeater</v>
      </c>
      <c r="G49" s="32">
        <f t="shared" ref="G49:G56" si="648">D49</f>
        <v>15</v>
      </c>
      <c r="H49" s="53"/>
      <c r="I49" s="54">
        <f t="shared" si="4"/>
        <v>0</v>
      </c>
      <c r="J49" s="53"/>
      <c r="K49" s="54">
        <f t="shared" si="4"/>
        <v>0</v>
      </c>
      <c r="L49" s="53"/>
      <c r="M49" s="54">
        <f t="shared" ref="M49:O49" si="649">$D49*L49</f>
        <v>0</v>
      </c>
      <c r="N49" s="61"/>
      <c r="O49" s="54">
        <f t="shared" si="649"/>
        <v>0</v>
      </c>
      <c r="P49" s="61"/>
      <c r="Q49" s="54">
        <f t="shared" ref="Q49:S49" si="650">$D49*P49</f>
        <v>0</v>
      </c>
      <c r="R49" s="61"/>
      <c r="S49" s="54">
        <f t="shared" si="650"/>
        <v>0</v>
      </c>
      <c r="T49" s="61"/>
      <c r="U49" s="54">
        <f t="shared" ref="U49:W49" si="651">$D49*T49</f>
        <v>0</v>
      </c>
      <c r="V49" s="61"/>
      <c r="W49" s="54">
        <f t="shared" si="651"/>
        <v>0</v>
      </c>
      <c r="X49" s="61"/>
      <c r="Y49" s="54">
        <f t="shared" ref="Y49" si="652">$D49*X49</f>
        <v>0</v>
      </c>
      <c r="Z49" s="58"/>
      <c r="AA49" s="44">
        <f t="shared" ref="AA49" si="653">$D49*Z49</f>
        <v>0</v>
      </c>
      <c r="AB49" s="45"/>
      <c r="AC49" s="44">
        <f t="shared" ref="AC49" si="654">$D49*AB49</f>
        <v>0</v>
      </c>
      <c r="AD49" s="45"/>
      <c r="AE49" s="44">
        <f t="shared" ref="AE49" si="655">$D49*AD49</f>
        <v>0</v>
      </c>
      <c r="AF49" s="45"/>
      <c r="AG49" s="44">
        <f t="shared" ref="AG49" si="656">$D49*AF49</f>
        <v>0</v>
      </c>
      <c r="AH49" s="45"/>
      <c r="AI49" s="44">
        <f t="shared" si="13"/>
        <v>0</v>
      </c>
      <c r="AJ49" s="45"/>
      <c r="AK49" s="44">
        <f t="shared" ref="AK49" si="657">$D49*AJ49</f>
        <v>0</v>
      </c>
      <c r="AL49" s="45"/>
      <c r="AM49" s="44">
        <f t="shared" ref="AM49" si="658">$D49*AL49</f>
        <v>0</v>
      </c>
      <c r="AN49" s="45"/>
      <c r="AO49" s="44">
        <f t="shared" ref="AO49" si="659">$D49*AN49</f>
        <v>0</v>
      </c>
      <c r="AP49" s="45"/>
      <c r="AQ49" s="44">
        <f t="shared" si="17"/>
        <v>0</v>
      </c>
      <c r="AR49" s="45"/>
      <c r="AS49" s="44">
        <f t="shared" ref="AS49" si="660">$D49*AR49</f>
        <v>0</v>
      </c>
      <c r="AT49" s="45"/>
      <c r="AU49" s="44">
        <f t="shared" ref="AU49" si="661">$D49*AT49</f>
        <v>0</v>
      </c>
      <c r="AV49" s="45"/>
      <c r="AW49" s="44">
        <f t="shared" ref="AW49" si="662">$D49*AV49</f>
        <v>0</v>
      </c>
      <c r="AX49" s="45"/>
      <c r="AY49" s="44">
        <f t="shared" si="21"/>
        <v>0</v>
      </c>
      <c r="AZ49" s="48">
        <f t="shared" si="0"/>
        <v>0</v>
      </c>
      <c r="BA49" s="44">
        <f t="shared" si="22"/>
        <v>0</v>
      </c>
    </row>
    <row r="50" spans="1:53" ht="15" hidden="1" customHeight="1" x14ac:dyDescent="0.25">
      <c r="A50" t="s">
        <v>83</v>
      </c>
      <c r="B50" s="33">
        <v>32</v>
      </c>
      <c r="C50" s="34" t="s">
        <v>32</v>
      </c>
      <c r="D50" s="35">
        <v>15</v>
      </c>
      <c r="E50" s="129">
        <f t="shared" si="646"/>
        <v>32</v>
      </c>
      <c r="F50" s="31" t="str">
        <f t="shared" si="647"/>
        <v>Gin Gordon´s</v>
      </c>
      <c r="G50" s="32">
        <f t="shared" si="648"/>
        <v>15</v>
      </c>
      <c r="H50" s="53"/>
      <c r="I50" s="54">
        <f t="shared" si="4"/>
        <v>0</v>
      </c>
      <c r="J50" s="53"/>
      <c r="K50" s="54">
        <f t="shared" si="4"/>
        <v>0</v>
      </c>
      <c r="L50" s="53"/>
      <c r="M50" s="54">
        <f t="shared" ref="M50:O50" si="663">$D50*L50</f>
        <v>0</v>
      </c>
      <c r="N50" s="61"/>
      <c r="O50" s="54">
        <f t="shared" si="663"/>
        <v>0</v>
      </c>
      <c r="P50" s="61"/>
      <c r="Q50" s="54">
        <f t="shared" ref="Q50:S50" si="664">$D50*P50</f>
        <v>0</v>
      </c>
      <c r="R50" s="61"/>
      <c r="S50" s="54">
        <f t="shared" si="664"/>
        <v>0</v>
      </c>
      <c r="T50" s="61"/>
      <c r="U50" s="54">
        <f t="shared" ref="U50:W50" si="665">$D50*T50</f>
        <v>0</v>
      </c>
      <c r="V50" s="61"/>
      <c r="W50" s="54">
        <f t="shared" si="665"/>
        <v>0</v>
      </c>
      <c r="X50" s="61"/>
      <c r="Y50" s="54">
        <f t="shared" ref="Y50" si="666">$D50*X50</f>
        <v>0</v>
      </c>
      <c r="Z50" s="58"/>
      <c r="AA50" s="44">
        <f t="shared" ref="AA50" si="667">$D50*Z50</f>
        <v>0</v>
      </c>
      <c r="AB50" s="45"/>
      <c r="AC50" s="44">
        <f t="shared" ref="AC50" si="668">$D50*AB50</f>
        <v>0</v>
      </c>
      <c r="AD50" s="45"/>
      <c r="AE50" s="44">
        <f t="shared" ref="AE50" si="669">$D50*AD50</f>
        <v>0</v>
      </c>
      <c r="AF50" s="45"/>
      <c r="AG50" s="44">
        <f t="shared" ref="AG50" si="670">$D50*AF50</f>
        <v>0</v>
      </c>
      <c r="AH50" s="45"/>
      <c r="AI50" s="44">
        <f t="shared" si="13"/>
        <v>0</v>
      </c>
      <c r="AJ50" s="45"/>
      <c r="AK50" s="44">
        <f t="shared" ref="AK50" si="671">$D50*AJ50</f>
        <v>0</v>
      </c>
      <c r="AL50" s="45"/>
      <c r="AM50" s="44">
        <f t="shared" ref="AM50" si="672">$D50*AL50</f>
        <v>0</v>
      </c>
      <c r="AN50" s="45"/>
      <c r="AO50" s="44">
        <f t="shared" ref="AO50" si="673">$D50*AN50</f>
        <v>0</v>
      </c>
      <c r="AP50" s="45"/>
      <c r="AQ50" s="44">
        <f t="shared" si="17"/>
        <v>0</v>
      </c>
      <c r="AR50" s="45"/>
      <c r="AS50" s="44">
        <f t="shared" ref="AS50" si="674">$D50*AR50</f>
        <v>0</v>
      </c>
      <c r="AT50" s="45"/>
      <c r="AU50" s="44">
        <f t="shared" ref="AU50" si="675">$D50*AT50</f>
        <v>0</v>
      </c>
      <c r="AV50" s="45"/>
      <c r="AW50" s="44">
        <f t="shared" ref="AW50" si="676">$D50*AV50</f>
        <v>0</v>
      </c>
      <c r="AX50" s="45"/>
      <c r="AY50" s="44">
        <f t="shared" si="21"/>
        <v>0</v>
      </c>
      <c r="AZ50" s="48">
        <f t="shared" si="0"/>
        <v>0</v>
      </c>
      <c r="BA50" s="44">
        <f t="shared" si="22"/>
        <v>0</v>
      </c>
    </row>
    <row r="51" spans="1:53" ht="18" customHeight="1" x14ac:dyDescent="0.25">
      <c r="A51" t="s">
        <v>82</v>
      </c>
      <c r="B51" s="143">
        <v>33</v>
      </c>
      <c r="C51" s="144" t="s">
        <v>33</v>
      </c>
      <c r="D51" s="145">
        <v>15</v>
      </c>
      <c r="E51" s="129">
        <f t="shared" si="646"/>
        <v>33</v>
      </c>
      <c r="F51" s="31" t="str">
        <f t="shared" si="647"/>
        <v>Gin Tanqueray</v>
      </c>
      <c r="G51" s="32">
        <f t="shared" si="648"/>
        <v>15</v>
      </c>
      <c r="H51" s="53"/>
      <c r="I51" s="54">
        <f t="shared" si="4"/>
        <v>0</v>
      </c>
      <c r="J51" s="53"/>
      <c r="K51" s="54">
        <f t="shared" si="4"/>
        <v>0</v>
      </c>
      <c r="L51" s="53"/>
      <c r="M51" s="54">
        <f t="shared" ref="M51:O51" si="677">$D51*L51</f>
        <v>0</v>
      </c>
      <c r="N51" s="61"/>
      <c r="O51" s="54">
        <f t="shared" si="677"/>
        <v>0</v>
      </c>
      <c r="P51" s="61"/>
      <c r="Q51" s="54">
        <f t="shared" ref="Q51:S51" si="678">$D51*P51</f>
        <v>0</v>
      </c>
      <c r="R51" s="61"/>
      <c r="S51" s="54">
        <f t="shared" si="678"/>
        <v>0</v>
      </c>
      <c r="T51" s="61"/>
      <c r="U51" s="54">
        <f t="shared" ref="U51:W51" si="679">$D51*T51</f>
        <v>0</v>
      </c>
      <c r="V51" s="61"/>
      <c r="W51" s="54">
        <f t="shared" si="679"/>
        <v>0</v>
      </c>
      <c r="X51" s="61"/>
      <c r="Y51" s="54">
        <f t="shared" ref="Y51" si="680">$D51*X51</f>
        <v>0</v>
      </c>
      <c r="Z51" s="58"/>
      <c r="AA51" s="44">
        <f t="shared" ref="AA51" si="681">$D51*Z51</f>
        <v>0</v>
      </c>
      <c r="AB51" s="45"/>
      <c r="AC51" s="44">
        <f t="shared" ref="AC51" si="682">$D51*AB51</f>
        <v>0</v>
      </c>
      <c r="AD51" s="45"/>
      <c r="AE51" s="44">
        <f t="shared" ref="AE51" si="683">$D51*AD51</f>
        <v>0</v>
      </c>
      <c r="AF51" s="45"/>
      <c r="AG51" s="44">
        <f t="shared" ref="AG51" si="684">$D51*AF51</f>
        <v>0</v>
      </c>
      <c r="AH51" s="45"/>
      <c r="AI51" s="44">
        <f t="shared" si="13"/>
        <v>0</v>
      </c>
      <c r="AJ51" s="45"/>
      <c r="AK51" s="44">
        <f t="shared" ref="AK51" si="685">$D51*AJ51</f>
        <v>0</v>
      </c>
      <c r="AL51" s="45"/>
      <c r="AM51" s="44">
        <f t="shared" ref="AM51" si="686">$D51*AL51</f>
        <v>0</v>
      </c>
      <c r="AN51" s="45"/>
      <c r="AO51" s="44">
        <f t="shared" ref="AO51" si="687">$D51*AN51</f>
        <v>0</v>
      </c>
      <c r="AP51" s="45"/>
      <c r="AQ51" s="44">
        <f t="shared" si="17"/>
        <v>0</v>
      </c>
      <c r="AR51" s="45"/>
      <c r="AS51" s="44">
        <f t="shared" ref="AS51" si="688">$D51*AR51</f>
        <v>0</v>
      </c>
      <c r="AT51" s="45"/>
      <c r="AU51" s="44">
        <f t="shared" ref="AU51" si="689">$D51*AT51</f>
        <v>0</v>
      </c>
      <c r="AV51" s="45"/>
      <c r="AW51" s="44">
        <f t="shared" ref="AW51" si="690">$D51*AV51</f>
        <v>0</v>
      </c>
      <c r="AX51" s="45"/>
      <c r="AY51" s="44">
        <f t="shared" si="21"/>
        <v>0</v>
      </c>
      <c r="AZ51" s="48">
        <f t="shared" si="0"/>
        <v>0</v>
      </c>
      <c r="BA51" s="44">
        <f t="shared" si="22"/>
        <v>0</v>
      </c>
    </row>
    <row r="52" spans="1:53" ht="18" customHeight="1" x14ac:dyDescent="0.25">
      <c r="A52" t="s">
        <v>82</v>
      </c>
      <c r="B52" s="130">
        <v>29</v>
      </c>
      <c r="C52" s="131" t="s">
        <v>14</v>
      </c>
      <c r="D52" s="115">
        <v>15</v>
      </c>
      <c r="E52" s="129">
        <f t="shared" si="646"/>
        <v>29</v>
      </c>
      <c r="F52" s="31" t="str">
        <f t="shared" si="647"/>
        <v>Vodka Absolut</v>
      </c>
      <c r="G52" s="32">
        <f t="shared" si="648"/>
        <v>15</v>
      </c>
      <c r="H52" s="53"/>
      <c r="I52" s="54">
        <f t="shared" si="4"/>
        <v>0</v>
      </c>
      <c r="J52" s="53"/>
      <c r="K52" s="54">
        <f t="shared" si="4"/>
        <v>0</v>
      </c>
      <c r="L52" s="53"/>
      <c r="M52" s="54">
        <f t="shared" ref="M52:O52" si="691">$D52*L52</f>
        <v>0</v>
      </c>
      <c r="N52" s="61"/>
      <c r="O52" s="54">
        <f t="shared" si="691"/>
        <v>0</v>
      </c>
      <c r="P52" s="61"/>
      <c r="Q52" s="54">
        <f t="shared" ref="Q52:S52" si="692">$D52*P52</f>
        <v>0</v>
      </c>
      <c r="R52" s="61"/>
      <c r="S52" s="54">
        <f t="shared" si="692"/>
        <v>0</v>
      </c>
      <c r="T52" s="61"/>
      <c r="U52" s="54">
        <f t="shared" ref="U52:W52" si="693">$D52*T52</f>
        <v>0</v>
      </c>
      <c r="V52" s="61"/>
      <c r="W52" s="54">
        <f t="shared" si="693"/>
        <v>0</v>
      </c>
      <c r="X52" s="61"/>
      <c r="Y52" s="54">
        <f t="shared" ref="Y52" si="694">$D52*X52</f>
        <v>0</v>
      </c>
      <c r="Z52" s="58"/>
      <c r="AA52" s="44">
        <f t="shared" ref="AA52" si="695">$D52*Z52</f>
        <v>0</v>
      </c>
      <c r="AB52" s="45"/>
      <c r="AC52" s="44">
        <f t="shared" ref="AC52" si="696">$D52*AB52</f>
        <v>0</v>
      </c>
      <c r="AD52" s="45"/>
      <c r="AE52" s="44">
        <f t="shared" ref="AE52" si="697">$D52*AD52</f>
        <v>0</v>
      </c>
      <c r="AF52" s="45"/>
      <c r="AG52" s="44">
        <f t="shared" ref="AG52" si="698">$D52*AF52</f>
        <v>0</v>
      </c>
      <c r="AH52" s="45"/>
      <c r="AI52" s="44">
        <f t="shared" si="13"/>
        <v>0</v>
      </c>
      <c r="AJ52" s="45"/>
      <c r="AK52" s="44">
        <f t="shared" ref="AK52" si="699">$D52*AJ52</f>
        <v>0</v>
      </c>
      <c r="AL52" s="45"/>
      <c r="AM52" s="44">
        <f t="shared" ref="AM52" si="700">$D52*AL52</f>
        <v>0</v>
      </c>
      <c r="AN52" s="45"/>
      <c r="AO52" s="44">
        <f t="shared" ref="AO52" si="701">$D52*AN52</f>
        <v>0</v>
      </c>
      <c r="AP52" s="45"/>
      <c r="AQ52" s="44">
        <f t="shared" si="17"/>
        <v>0</v>
      </c>
      <c r="AR52" s="45"/>
      <c r="AS52" s="44">
        <f t="shared" ref="AS52" si="702">$D52*AR52</f>
        <v>0</v>
      </c>
      <c r="AT52" s="45"/>
      <c r="AU52" s="44">
        <f t="shared" ref="AU52" si="703">$D52*AT52</f>
        <v>0</v>
      </c>
      <c r="AV52" s="45"/>
      <c r="AW52" s="44">
        <f t="shared" ref="AW52" si="704">$D52*AV52</f>
        <v>0</v>
      </c>
      <c r="AX52" s="45"/>
      <c r="AY52" s="44">
        <f t="shared" si="21"/>
        <v>0</v>
      </c>
      <c r="AZ52" s="48">
        <f t="shared" si="0"/>
        <v>0</v>
      </c>
      <c r="BA52" s="44">
        <f t="shared" si="22"/>
        <v>0</v>
      </c>
    </row>
    <row r="53" spans="1:53" ht="18" customHeight="1" x14ac:dyDescent="0.25">
      <c r="A53" t="s">
        <v>82</v>
      </c>
      <c r="B53" s="14">
        <v>30</v>
      </c>
      <c r="C53" s="15" t="s">
        <v>15</v>
      </c>
      <c r="D53" s="16">
        <v>10</v>
      </c>
      <c r="E53" s="129">
        <f t="shared" si="646"/>
        <v>30</v>
      </c>
      <c r="F53" s="31" t="str">
        <f t="shared" si="647"/>
        <v>Vodka Smirnoff</v>
      </c>
      <c r="G53" s="32">
        <f t="shared" si="648"/>
        <v>10</v>
      </c>
      <c r="H53" s="53"/>
      <c r="I53" s="54">
        <f t="shared" si="4"/>
        <v>0</v>
      </c>
      <c r="J53" s="53"/>
      <c r="K53" s="54">
        <f t="shared" si="4"/>
        <v>0</v>
      </c>
      <c r="L53" s="53"/>
      <c r="M53" s="54">
        <f t="shared" ref="M53:O54" si="705">$D53*L53</f>
        <v>0</v>
      </c>
      <c r="N53" s="61"/>
      <c r="O53" s="54">
        <f t="shared" si="705"/>
        <v>0</v>
      </c>
      <c r="P53" s="61"/>
      <c r="Q53" s="54">
        <f t="shared" ref="Q53:S54" si="706">$D53*P53</f>
        <v>0</v>
      </c>
      <c r="R53" s="61"/>
      <c r="S53" s="54">
        <f t="shared" si="706"/>
        <v>0</v>
      </c>
      <c r="T53" s="61"/>
      <c r="U53" s="54">
        <f t="shared" ref="U53:W54" si="707">$D53*T53</f>
        <v>0</v>
      </c>
      <c r="V53" s="61"/>
      <c r="W53" s="54">
        <f t="shared" si="707"/>
        <v>0</v>
      </c>
      <c r="X53" s="61"/>
      <c r="Y53" s="54">
        <f t="shared" ref="Y53:Y54" si="708">$D53*X53</f>
        <v>0</v>
      </c>
      <c r="Z53" s="58"/>
      <c r="AA53" s="44">
        <f t="shared" ref="AA53:AA54" si="709">$D53*Z53</f>
        <v>0</v>
      </c>
      <c r="AB53" s="45"/>
      <c r="AC53" s="44">
        <f t="shared" ref="AC53:AC54" si="710">$D53*AB53</f>
        <v>0</v>
      </c>
      <c r="AD53" s="45"/>
      <c r="AE53" s="44">
        <f t="shared" ref="AE53:AE54" si="711">$D53*AD53</f>
        <v>0</v>
      </c>
      <c r="AF53" s="45"/>
      <c r="AG53" s="44">
        <f t="shared" ref="AG53:AG54" si="712">$D53*AF53</f>
        <v>0</v>
      </c>
      <c r="AH53" s="45"/>
      <c r="AI53" s="44">
        <f t="shared" si="13"/>
        <v>0</v>
      </c>
      <c r="AJ53" s="45"/>
      <c r="AK53" s="44">
        <f t="shared" ref="AK53:AK54" si="713">$D53*AJ53</f>
        <v>0</v>
      </c>
      <c r="AL53" s="45"/>
      <c r="AM53" s="44">
        <f t="shared" ref="AM53:AM54" si="714">$D53*AL53</f>
        <v>0</v>
      </c>
      <c r="AN53" s="45"/>
      <c r="AO53" s="44">
        <f t="shared" ref="AO53:AO54" si="715">$D53*AN53</f>
        <v>0</v>
      </c>
      <c r="AP53" s="45"/>
      <c r="AQ53" s="44">
        <f t="shared" si="17"/>
        <v>0</v>
      </c>
      <c r="AR53" s="45"/>
      <c r="AS53" s="44">
        <f t="shared" ref="AS53:AS54" si="716">$D53*AR53</f>
        <v>0</v>
      </c>
      <c r="AT53" s="45"/>
      <c r="AU53" s="44">
        <f t="shared" ref="AU53:AU54" si="717">$D53*AT53</f>
        <v>0</v>
      </c>
      <c r="AV53" s="45"/>
      <c r="AW53" s="44">
        <f t="shared" ref="AW53:AW54" si="718">$D53*AV53</f>
        <v>0</v>
      </c>
      <c r="AX53" s="45"/>
      <c r="AY53" s="44">
        <f t="shared" si="21"/>
        <v>0</v>
      </c>
      <c r="AZ53" s="48">
        <f t="shared" si="0"/>
        <v>0</v>
      </c>
      <c r="BA53" s="44">
        <f t="shared" si="22"/>
        <v>0</v>
      </c>
    </row>
    <row r="54" spans="1:53" ht="18" customHeight="1" x14ac:dyDescent="0.25">
      <c r="A54" t="s">
        <v>82</v>
      </c>
      <c r="B54" s="14">
        <v>18</v>
      </c>
      <c r="C54" s="15" t="s">
        <v>35</v>
      </c>
      <c r="D54" s="16">
        <v>20</v>
      </c>
      <c r="E54" s="129">
        <f t="shared" si="646"/>
        <v>18</v>
      </c>
      <c r="F54" s="31" t="str">
        <f t="shared" si="647"/>
        <v>Whisky Chivas 12 anos</v>
      </c>
      <c r="G54" s="32">
        <f t="shared" si="648"/>
        <v>20</v>
      </c>
      <c r="H54" s="53"/>
      <c r="I54" s="54">
        <f t="shared" ref="I54" si="719">$D54*H54</f>
        <v>0</v>
      </c>
      <c r="J54" s="53"/>
      <c r="K54" s="54">
        <f t="shared" ref="K54" si="720">$D54*J54</f>
        <v>0</v>
      </c>
      <c r="L54" s="53"/>
      <c r="M54" s="54">
        <f t="shared" si="705"/>
        <v>0</v>
      </c>
      <c r="N54" s="61"/>
      <c r="O54" s="54">
        <f t="shared" si="705"/>
        <v>0</v>
      </c>
      <c r="P54" s="61"/>
      <c r="Q54" s="54">
        <f t="shared" si="706"/>
        <v>0</v>
      </c>
      <c r="R54" s="61"/>
      <c r="S54" s="54">
        <f t="shared" si="706"/>
        <v>0</v>
      </c>
      <c r="T54" s="61"/>
      <c r="U54" s="54">
        <f t="shared" si="707"/>
        <v>0</v>
      </c>
      <c r="V54" s="61"/>
      <c r="W54" s="54">
        <f t="shared" si="707"/>
        <v>0</v>
      </c>
      <c r="X54" s="61"/>
      <c r="Y54" s="54">
        <f t="shared" si="708"/>
        <v>0</v>
      </c>
      <c r="Z54" s="58"/>
      <c r="AA54" s="44">
        <f t="shared" si="709"/>
        <v>0</v>
      </c>
      <c r="AB54" s="45"/>
      <c r="AC54" s="44">
        <f t="shared" si="710"/>
        <v>0</v>
      </c>
      <c r="AD54" s="45"/>
      <c r="AE54" s="44">
        <f t="shared" si="711"/>
        <v>0</v>
      </c>
      <c r="AF54" s="45"/>
      <c r="AG54" s="44">
        <f t="shared" si="712"/>
        <v>0</v>
      </c>
      <c r="AH54" s="45"/>
      <c r="AI54" s="44">
        <f t="shared" ref="AI54" si="721">$D54*AH54</f>
        <v>0</v>
      </c>
      <c r="AJ54" s="45"/>
      <c r="AK54" s="44">
        <f t="shared" si="713"/>
        <v>0</v>
      </c>
      <c r="AL54" s="45"/>
      <c r="AM54" s="44">
        <f t="shared" si="714"/>
        <v>0</v>
      </c>
      <c r="AN54" s="45"/>
      <c r="AO54" s="44">
        <f t="shared" si="715"/>
        <v>0</v>
      </c>
      <c r="AP54" s="45"/>
      <c r="AQ54" s="44">
        <f t="shared" ref="AQ54" si="722">$D54*AP54</f>
        <v>0</v>
      </c>
      <c r="AR54" s="45"/>
      <c r="AS54" s="44">
        <f t="shared" si="716"/>
        <v>0</v>
      </c>
      <c r="AT54" s="45"/>
      <c r="AU54" s="44">
        <f t="shared" si="717"/>
        <v>0</v>
      </c>
      <c r="AV54" s="45"/>
      <c r="AW54" s="44">
        <f t="shared" si="718"/>
        <v>0</v>
      </c>
      <c r="AX54" s="45"/>
      <c r="AY54" s="44">
        <f t="shared" ref="AY54" si="723">$D54*AX54</f>
        <v>0</v>
      </c>
      <c r="AZ54" s="48">
        <f t="shared" ref="AZ54" si="724">H54+J54+L54+N54+P54+R54+T54+V54+X54+Z54+AB54+AD54+AF54+AH54+AJ54+AL54+AN54+AP54+AR54+AT54+AV54+AX54</f>
        <v>0</v>
      </c>
      <c r="BA54" s="44">
        <f t="shared" ref="BA54" si="725">$D54*AZ54</f>
        <v>0</v>
      </c>
    </row>
    <row r="55" spans="1:53" ht="18" customHeight="1" x14ac:dyDescent="0.25">
      <c r="A55" t="s">
        <v>82</v>
      </c>
      <c r="B55" s="14">
        <v>58</v>
      </c>
      <c r="C55" s="15" t="s">
        <v>69</v>
      </c>
      <c r="D55" s="16">
        <v>20</v>
      </c>
      <c r="E55" s="129">
        <f t="shared" si="646"/>
        <v>58</v>
      </c>
      <c r="F55" s="31" t="str">
        <f t="shared" si="647"/>
        <v>Whisky Old Parr 12 anos</v>
      </c>
      <c r="G55" s="32">
        <f t="shared" si="648"/>
        <v>20</v>
      </c>
      <c r="H55" s="53"/>
      <c r="I55" s="54">
        <f t="shared" si="4"/>
        <v>0</v>
      </c>
      <c r="J55" s="53"/>
      <c r="K55" s="54">
        <f t="shared" si="4"/>
        <v>0</v>
      </c>
      <c r="L55" s="53"/>
      <c r="M55" s="54">
        <f t="shared" ref="M55:O55" si="726">$D55*L55</f>
        <v>0</v>
      </c>
      <c r="N55" s="61"/>
      <c r="O55" s="54">
        <f t="shared" si="726"/>
        <v>0</v>
      </c>
      <c r="P55" s="61"/>
      <c r="Q55" s="54">
        <f t="shared" ref="Q55:S55" si="727">$D55*P55</f>
        <v>0</v>
      </c>
      <c r="R55" s="61"/>
      <c r="S55" s="54">
        <f t="shared" si="727"/>
        <v>0</v>
      </c>
      <c r="T55" s="61"/>
      <c r="U55" s="54">
        <f t="shared" ref="U55:W55" si="728">$D55*T55</f>
        <v>0</v>
      </c>
      <c r="V55" s="61"/>
      <c r="W55" s="54">
        <f t="shared" si="728"/>
        <v>0</v>
      </c>
      <c r="X55" s="61"/>
      <c r="Y55" s="54">
        <f t="shared" ref="Y55" si="729">$D55*X55</f>
        <v>0</v>
      </c>
      <c r="Z55" s="58"/>
      <c r="AA55" s="44">
        <f t="shared" ref="AA55" si="730">$D55*Z55</f>
        <v>0</v>
      </c>
      <c r="AB55" s="45"/>
      <c r="AC55" s="44">
        <f t="shared" ref="AC55" si="731">$D55*AB55</f>
        <v>0</v>
      </c>
      <c r="AD55" s="45"/>
      <c r="AE55" s="44">
        <f t="shared" ref="AE55" si="732">$D55*AD55</f>
        <v>0</v>
      </c>
      <c r="AF55" s="45"/>
      <c r="AG55" s="44">
        <f t="shared" ref="AG55" si="733">$D55*AF55</f>
        <v>0</v>
      </c>
      <c r="AH55" s="45"/>
      <c r="AI55" s="44">
        <f t="shared" si="13"/>
        <v>0</v>
      </c>
      <c r="AJ55" s="45"/>
      <c r="AK55" s="44">
        <f t="shared" ref="AK55" si="734">$D55*AJ55</f>
        <v>0</v>
      </c>
      <c r="AL55" s="45"/>
      <c r="AM55" s="44">
        <f t="shared" ref="AM55" si="735">$D55*AL55</f>
        <v>0</v>
      </c>
      <c r="AN55" s="45"/>
      <c r="AO55" s="44">
        <f t="shared" ref="AO55" si="736">$D55*AN55</f>
        <v>0</v>
      </c>
      <c r="AP55" s="45"/>
      <c r="AQ55" s="44">
        <f t="shared" si="17"/>
        <v>0</v>
      </c>
      <c r="AR55" s="45"/>
      <c r="AS55" s="44">
        <f t="shared" ref="AS55" si="737">$D55*AR55</f>
        <v>0</v>
      </c>
      <c r="AT55" s="45"/>
      <c r="AU55" s="44">
        <f t="shared" ref="AU55" si="738">$D55*AT55</f>
        <v>0</v>
      </c>
      <c r="AV55" s="45"/>
      <c r="AW55" s="44">
        <f t="shared" ref="AW55" si="739">$D55*AV55</f>
        <v>0</v>
      </c>
      <c r="AX55" s="45"/>
      <c r="AY55" s="44">
        <f t="shared" si="21"/>
        <v>0</v>
      </c>
      <c r="AZ55" s="48">
        <f t="shared" si="0"/>
        <v>0</v>
      </c>
      <c r="BA55" s="44">
        <f t="shared" si="22"/>
        <v>0</v>
      </c>
    </row>
    <row r="56" spans="1:53" ht="18" customHeight="1" x14ac:dyDescent="0.25">
      <c r="A56" t="s">
        <v>82</v>
      </c>
      <c r="B56" s="14">
        <v>17</v>
      </c>
      <c r="C56" s="15" t="s">
        <v>34</v>
      </c>
      <c r="D56" s="16">
        <v>13</v>
      </c>
      <c r="E56" s="129">
        <f t="shared" si="646"/>
        <v>17</v>
      </c>
      <c r="F56" s="31" t="str">
        <f t="shared" si="647"/>
        <v>Whisky Red Label 8 anos</v>
      </c>
      <c r="G56" s="32">
        <f t="shared" si="648"/>
        <v>13</v>
      </c>
      <c r="H56" s="53"/>
      <c r="I56" s="54">
        <f t="shared" si="4"/>
        <v>0</v>
      </c>
      <c r="J56" s="53"/>
      <c r="K56" s="54">
        <f t="shared" si="4"/>
        <v>0</v>
      </c>
      <c r="L56" s="53"/>
      <c r="M56" s="54">
        <f t="shared" ref="M56:O56" si="740">$D56*L56</f>
        <v>0</v>
      </c>
      <c r="N56" s="61"/>
      <c r="O56" s="54">
        <f t="shared" si="740"/>
        <v>0</v>
      </c>
      <c r="P56" s="61"/>
      <c r="Q56" s="54">
        <f t="shared" ref="Q56:S56" si="741">$D56*P56</f>
        <v>0</v>
      </c>
      <c r="R56" s="61"/>
      <c r="S56" s="54">
        <f t="shared" si="741"/>
        <v>0</v>
      </c>
      <c r="T56" s="61"/>
      <c r="U56" s="54">
        <f t="shared" ref="U56:W56" si="742">$D56*T56</f>
        <v>0</v>
      </c>
      <c r="V56" s="61"/>
      <c r="W56" s="54">
        <f t="shared" si="742"/>
        <v>0</v>
      </c>
      <c r="X56" s="61"/>
      <c r="Y56" s="54">
        <f t="shared" ref="Y56" si="743">$D56*X56</f>
        <v>0</v>
      </c>
      <c r="Z56" s="58"/>
      <c r="AA56" s="44">
        <f t="shared" ref="AA56" si="744">$D56*Z56</f>
        <v>0</v>
      </c>
      <c r="AB56" s="45"/>
      <c r="AC56" s="44">
        <f t="shared" ref="AC56" si="745">$D56*AB56</f>
        <v>0</v>
      </c>
      <c r="AD56" s="45"/>
      <c r="AE56" s="44">
        <f t="shared" ref="AE56" si="746">$D56*AD56</f>
        <v>0</v>
      </c>
      <c r="AF56" s="45"/>
      <c r="AG56" s="44">
        <f t="shared" ref="AG56" si="747">$D56*AF56</f>
        <v>0</v>
      </c>
      <c r="AH56" s="45"/>
      <c r="AI56" s="44">
        <f t="shared" si="13"/>
        <v>0</v>
      </c>
      <c r="AJ56" s="45"/>
      <c r="AK56" s="44">
        <f t="shared" ref="AK56" si="748">$D56*AJ56</f>
        <v>0</v>
      </c>
      <c r="AL56" s="45"/>
      <c r="AM56" s="44">
        <f t="shared" ref="AM56" si="749">$D56*AL56</f>
        <v>0</v>
      </c>
      <c r="AN56" s="45"/>
      <c r="AO56" s="44">
        <f t="shared" ref="AO56" si="750">$D56*AN56</f>
        <v>0</v>
      </c>
      <c r="AP56" s="45"/>
      <c r="AQ56" s="44">
        <f t="shared" si="17"/>
        <v>0</v>
      </c>
      <c r="AR56" s="45"/>
      <c r="AS56" s="44">
        <f t="shared" ref="AS56" si="751">$D56*AR56</f>
        <v>0</v>
      </c>
      <c r="AT56" s="45"/>
      <c r="AU56" s="44">
        <f t="shared" ref="AU56" si="752">$D56*AT56</f>
        <v>0</v>
      </c>
      <c r="AV56" s="45"/>
      <c r="AW56" s="44">
        <f t="shared" ref="AW56" si="753">$D56*AV56</f>
        <v>0</v>
      </c>
      <c r="AX56" s="45"/>
      <c r="AY56" s="44">
        <f t="shared" si="21"/>
        <v>0</v>
      </c>
      <c r="AZ56" s="48">
        <f t="shared" si="0"/>
        <v>0</v>
      </c>
      <c r="BA56" s="44">
        <f t="shared" si="22"/>
        <v>0</v>
      </c>
    </row>
    <row r="57" spans="1:53" ht="18" customHeight="1" thickBot="1" x14ac:dyDescent="0.3">
      <c r="A57" t="s">
        <v>82</v>
      </c>
      <c r="B57" s="126">
        <v>60</v>
      </c>
      <c r="C57" s="127" t="s">
        <v>80</v>
      </c>
      <c r="D57" s="128">
        <v>50</v>
      </c>
      <c r="E57" s="133">
        <f>B57</f>
        <v>60</v>
      </c>
      <c r="F57" s="34" t="str">
        <f>C57</f>
        <v>Rolha - Destilados</v>
      </c>
      <c r="G57" s="35">
        <f>D57</f>
        <v>50</v>
      </c>
      <c r="H57" s="53"/>
      <c r="I57" s="54">
        <f>$D57*H57</f>
        <v>0</v>
      </c>
      <c r="J57" s="53"/>
      <c r="K57" s="54">
        <f>$D57*J57</f>
        <v>0</v>
      </c>
      <c r="L57" s="53"/>
      <c r="M57" s="54">
        <f>$D57*L57</f>
        <v>0</v>
      </c>
      <c r="N57" s="61"/>
      <c r="O57" s="54">
        <f>$D57*N57</f>
        <v>0</v>
      </c>
      <c r="P57" s="61"/>
      <c r="Q57" s="54">
        <f>$D57*P57</f>
        <v>0</v>
      </c>
      <c r="R57" s="61"/>
      <c r="S57" s="54">
        <f>$D57*R57</f>
        <v>0</v>
      </c>
      <c r="T57" s="61"/>
      <c r="U57" s="54">
        <f>$D57*T57</f>
        <v>0</v>
      </c>
      <c r="V57" s="61"/>
      <c r="W57" s="54">
        <f>$D57*V57</f>
        <v>0</v>
      </c>
      <c r="X57" s="61"/>
      <c r="Y57" s="54">
        <f>$D57*X57</f>
        <v>0</v>
      </c>
      <c r="Z57" s="58"/>
      <c r="AA57" s="44">
        <f>$D57*Z57</f>
        <v>0</v>
      </c>
      <c r="AB57" s="45"/>
      <c r="AC57" s="44">
        <f>$D57*AB57</f>
        <v>0</v>
      </c>
      <c r="AD57" s="45"/>
      <c r="AE57" s="44">
        <f>$D57*AD57</f>
        <v>0</v>
      </c>
      <c r="AF57" s="45"/>
      <c r="AG57" s="44">
        <f>$D57*AF57</f>
        <v>0</v>
      </c>
      <c r="AH57" s="45"/>
      <c r="AI57" s="44">
        <f>$D57*AH57</f>
        <v>0</v>
      </c>
      <c r="AJ57" s="45"/>
      <c r="AK57" s="44">
        <f>$D57*AJ57</f>
        <v>0</v>
      </c>
      <c r="AL57" s="45"/>
      <c r="AM57" s="44">
        <f>$D57*AL57</f>
        <v>0</v>
      </c>
      <c r="AN57" s="45"/>
      <c r="AO57" s="44">
        <f>$D57*AN57</f>
        <v>0</v>
      </c>
      <c r="AP57" s="45"/>
      <c r="AQ57" s="44">
        <f>$D57*AP57</f>
        <v>0</v>
      </c>
      <c r="AR57" s="45"/>
      <c r="AS57" s="44">
        <f>$D57*AR57</f>
        <v>0</v>
      </c>
      <c r="AT57" s="45"/>
      <c r="AU57" s="44">
        <f>$D57*AT57</f>
        <v>0</v>
      </c>
      <c r="AV57" s="45"/>
      <c r="AW57" s="44">
        <f>$D57*AV57</f>
        <v>0</v>
      </c>
      <c r="AX57" s="45"/>
      <c r="AY57" s="44">
        <f>$D57*AX57</f>
        <v>0</v>
      </c>
      <c r="AZ57" s="48">
        <f>H57+J57+L57+N57+P57+R57+T57+V57+X57+Z57+AB57+AD57+AF57+AH57+AJ57+AL57+AN57+AP57+AR57+AT57+AV57+AX57</f>
        <v>0</v>
      </c>
      <c r="BA57" s="44">
        <f>$D57*AZ57</f>
        <v>0</v>
      </c>
    </row>
    <row r="58" spans="1:53" ht="18" customHeight="1" thickBot="1" x14ac:dyDescent="0.3">
      <c r="A58" t="s">
        <v>82</v>
      </c>
      <c r="B58" s="146"/>
      <c r="C58" s="142" t="s">
        <v>26</v>
      </c>
      <c r="D58" s="147"/>
      <c r="E58" s="36"/>
      <c r="F58" s="37" t="s">
        <v>26</v>
      </c>
      <c r="G58" s="38"/>
      <c r="H58" s="53"/>
      <c r="I58" s="54">
        <f t="shared" si="4"/>
        <v>0</v>
      </c>
      <c r="J58" s="53"/>
      <c r="K58" s="54">
        <f t="shared" si="4"/>
        <v>0</v>
      </c>
      <c r="L58" s="53"/>
      <c r="M58" s="54">
        <f t="shared" ref="M58:O58" si="754">$D58*L58</f>
        <v>0</v>
      </c>
      <c r="N58" s="61"/>
      <c r="O58" s="54">
        <f t="shared" si="754"/>
        <v>0</v>
      </c>
      <c r="P58" s="61"/>
      <c r="Q58" s="54">
        <f t="shared" ref="Q58:S58" si="755">$D58*P58</f>
        <v>0</v>
      </c>
      <c r="R58" s="61"/>
      <c r="S58" s="54">
        <f t="shared" si="755"/>
        <v>0</v>
      </c>
      <c r="T58" s="61"/>
      <c r="U58" s="54">
        <f t="shared" ref="U58:W58" si="756">$D58*T58</f>
        <v>0</v>
      </c>
      <c r="V58" s="61"/>
      <c r="W58" s="54">
        <f t="shared" si="756"/>
        <v>0</v>
      </c>
      <c r="X58" s="61"/>
      <c r="Y58" s="54">
        <f t="shared" ref="Y58" si="757">$D58*X58</f>
        <v>0</v>
      </c>
      <c r="Z58" s="58"/>
      <c r="AA58" s="44">
        <f t="shared" ref="AA58" si="758">$D58*Z58</f>
        <v>0</v>
      </c>
      <c r="AB58" s="45"/>
      <c r="AC58" s="44">
        <f t="shared" ref="AC58" si="759">$D58*AB58</f>
        <v>0</v>
      </c>
      <c r="AD58" s="45"/>
      <c r="AE58" s="44">
        <f t="shared" ref="AE58" si="760">$D58*AD58</f>
        <v>0</v>
      </c>
      <c r="AF58" s="45"/>
      <c r="AG58" s="44">
        <f t="shared" ref="AG58" si="761">$D58*AF58</f>
        <v>0</v>
      </c>
      <c r="AH58" s="45"/>
      <c r="AI58" s="44">
        <f t="shared" si="13"/>
        <v>0</v>
      </c>
      <c r="AJ58" s="45"/>
      <c r="AK58" s="44">
        <f t="shared" ref="AK58" si="762">$D58*AJ58</f>
        <v>0</v>
      </c>
      <c r="AL58" s="45"/>
      <c r="AM58" s="44">
        <f t="shared" ref="AM58" si="763">$D58*AL58</f>
        <v>0</v>
      </c>
      <c r="AN58" s="45"/>
      <c r="AO58" s="44">
        <f t="shared" ref="AO58" si="764">$D58*AN58</f>
        <v>0</v>
      </c>
      <c r="AP58" s="45"/>
      <c r="AQ58" s="44">
        <f t="shared" si="17"/>
        <v>0</v>
      </c>
      <c r="AR58" s="45"/>
      <c r="AS58" s="44">
        <f t="shared" ref="AS58" si="765">$D58*AR58</f>
        <v>0</v>
      </c>
      <c r="AT58" s="45"/>
      <c r="AU58" s="44">
        <f t="shared" ref="AU58" si="766">$D58*AT58</f>
        <v>0</v>
      </c>
      <c r="AV58" s="45"/>
      <c r="AW58" s="44">
        <f t="shared" ref="AW58" si="767">$D58*AV58</f>
        <v>0</v>
      </c>
      <c r="AX58" s="45"/>
      <c r="AY58" s="44">
        <f t="shared" si="21"/>
        <v>0</v>
      </c>
      <c r="AZ58" s="48">
        <f t="shared" si="0"/>
        <v>0</v>
      </c>
      <c r="BA58" s="44">
        <f t="shared" si="22"/>
        <v>0</v>
      </c>
    </row>
    <row r="59" spans="1:53" ht="18" customHeight="1" x14ac:dyDescent="0.25">
      <c r="A59" t="s">
        <v>82</v>
      </c>
      <c r="B59" s="143">
        <v>21</v>
      </c>
      <c r="C59" s="144" t="s">
        <v>18</v>
      </c>
      <c r="D59" s="145">
        <v>90</v>
      </c>
      <c r="E59" s="33">
        <f t="shared" ref="E59:E61" si="768">B59</f>
        <v>21</v>
      </c>
      <c r="F59" s="34" t="s">
        <v>18</v>
      </c>
      <c r="G59" s="35">
        <v>90</v>
      </c>
      <c r="H59" s="53"/>
      <c r="I59" s="54">
        <f t="shared" si="4"/>
        <v>0</v>
      </c>
      <c r="J59" s="53"/>
      <c r="K59" s="54">
        <f t="shared" si="4"/>
        <v>0</v>
      </c>
      <c r="L59" s="53"/>
      <c r="M59" s="54">
        <f t="shared" ref="M59:O59" si="769">$D59*L59</f>
        <v>0</v>
      </c>
      <c r="N59" s="61"/>
      <c r="O59" s="54">
        <f t="shared" si="769"/>
        <v>0</v>
      </c>
      <c r="P59" s="61"/>
      <c r="Q59" s="54">
        <f t="shared" ref="Q59:S59" si="770">$D59*P59</f>
        <v>0</v>
      </c>
      <c r="R59" s="61"/>
      <c r="S59" s="54">
        <f t="shared" si="770"/>
        <v>0</v>
      </c>
      <c r="T59" s="61"/>
      <c r="U59" s="54">
        <f t="shared" ref="U59:W59" si="771">$D59*T59</f>
        <v>0</v>
      </c>
      <c r="V59" s="61"/>
      <c r="W59" s="54">
        <f t="shared" si="771"/>
        <v>0</v>
      </c>
      <c r="X59" s="61"/>
      <c r="Y59" s="54">
        <f t="shared" ref="Y59" si="772">$D59*X59</f>
        <v>0</v>
      </c>
      <c r="Z59" s="58"/>
      <c r="AA59" s="44">
        <f t="shared" ref="AA59" si="773">$D59*Z59</f>
        <v>0</v>
      </c>
      <c r="AB59" s="45"/>
      <c r="AC59" s="44">
        <f t="shared" ref="AC59" si="774">$D59*AB59</f>
        <v>0</v>
      </c>
      <c r="AD59" s="45"/>
      <c r="AE59" s="44">
        <f t="shared" ref="AE59" si="775">$D59*AD59</f>
        <v>0</v>
      </c>
      <c r="AF59" s="45"/>
      <c r="AG59" s="44">
        <f t="shared" ref="AG59" si="776">$D59*AF59</f>
        <v>0</v>
      </c>
      <c r="AH59" s="45"/>
      <c r="AI59" s="44">
        <f t="shared" si="13"/>
        <v>0</v>
      </c>
      <c r="AJ59" s="45"/>
      <c r="AK59" s="44">
        <f t="shared" ref="AK59" si="777">$D59*AJ59</f>
        <v>0</v>
      </c>
      <c r="AL59" s="45"/>
      <c r="AM59" s="44">
        <f t="shared" ref="AM59" si="778">$D59*AL59</f>
        <v>0</v>
      </c>
      <c r="AN59" s="45"/>
      <c r="AO59" s="44">
        <f t="shared" ref="AO59" si="779">$D59*AN59</f>
        <v>0</v>
      </c>
      <c r="AP59" s="45"/>
      <c r="AQ59" s="44">
        <f t="shared" si="17"/>
        <v>0</v>
      </c>
      <c r="AR59" s="45"/>
      <c r="AS59" s="44">
        <f t="shared" ref="AS59" si="780">$D59*AR59</f>
        <v>0</v>
      </c>
      <c r="AT59" s="45"/>
      <c r="AU59" s="44">
        <f t="shared" ref="AU59" si="781">$D59*AT59</f>
        <v>0</v>
      </c>
      <c r="AV59" s="45"/>
      <c r="AW59" s="44">
        <f t="shared" ref="AW59" si="782">$D59*AV59</f>
        <v>0</v>
      </c>
      <c r="AX59" s="45"/>
      <c r="AY59" s="44">
        <f t="shared" si="21"/>
        <v>0</v>
      </c>
      <c r="AZ59" s="48">
        <f t="shared" si="0"/>
        <v>0</v>
      </c>
      <c r="BA59" s="44">
        <f t="shared" si="22"/>
        <v>0</v>
      </c>
    </row>
    <row r="60" spans="1:53" ht="18" customHeight="1" x14ac:dyDescent="0.25">
      <c r="A60" t="s">
        <v>82</v>
      </c>
      <c r="B60" s="124">
        <v>59</v>
      </c>
      <c r="C60" s="125" t="s">
        <v>51</v>
      </c>
      <c r="D60" s="20">
        <v>90</v>
      </c>
      <c r="E60" s="33">
        <f t="shared" si="768"/>
        <v>59</v>
      </c>
      <c r="F60" s="34" t="s">
        <v>51</v>
      </c>
      <c r="G60" s="35">
        <v>90</v>
      </c>
      <c r="H60" s="53"/>
      <c r="I60" s="54">
        <f t="shared" si="4"/>
        <v>0</v>
      </c>
      <c r="J60" s="53"/>
      <c r="K60" s="54">
        <f t="shared" si="4"/>
        <v>0</v>
      </c>
      <c r="L60" s="53"/>
      <c r="M60" s="54">
        <f t="shared" ref="M60:O60" si="783">$D60*L60</f>
        <v>0</v>
      </c>
      <c r="N60" s="61"/>
      <c r="O60" s="54">
        <f t="shared" si="783"/>
        <v>0</v>
      </c>
      <c r="P60" s="61"/>
      <c r="Q60" s="54">
        <f t="shared" ref="Q60:S60" si="784">$D60*P60</f>
        <v>0</v>
      </c>
      <c r="R60" s="61"/>
      <c r="S60" s="54">
        <f t="shared" si="784"/>
        <v>0</v>
      </c>
      <c r="T60" s="61"/>
      <c r="U60" s="54">
        <f t="shared" ref="U60:W60" si="785">$D60*T60</f>
        <v>0</v>
      </c>
      <c r="V60" s="61"/>
      <c r="W60" s="54">
        <f t="shared" si="785"/>
        <v>0</v>
      </c>
      <c r="X60" s="61"/>
      <c r="Y60" s="54">
        <f t="shared" ref="Y60" si="786">$D60*X60</f>
        <v>0</v>
      </c>
      <c r="Z60" s="58"/>
      <c r="AA60" s="44">
        <f t="shared" ref="AA60" si="787">$D60*Z60</f>
        <v>0</v>
      </c>
      <c r="AB60" s="45"/>
      <c r="AC60" s="44">
        <f t="shared" ref="AC60" si="788">$D60*AB60</f>
        <v>0</v>
      </c>
      <c r="AD60" s="45"/>
      <c r="AE60" s="44">
        <f t="shared" ref="AE60" si="789">$D60*AD60</f>
        <v>0</v>
      </c>
      <c r="AF60" s="45"/>
      <c r="AG60" s="44">
        <f t="shared" ref="AG60" si="790">$D60*AF60</f>
        <v>0</v>
      </c>
      <c r="AH60" s="45"/>
      <c r="AI60" s="44">
        <f t="shared" si="13"/>
        <v>0</v>
      </c>
      <c r="AJ60" s="45"/>
      <c r="AK60" s="44">
        <f t="shared" ref="AK60" si="791">$D60*AJ60</f>
        <v>0</v>
      </c>
      <c r="AL60" s="45"/>
      <c r="AM60" s="44">
        <f t="shared" ref="AM60" si="792">$D60*AL60</f>
        <v>0</v>
      </c>
      <c r="AN60" s="45"/>
      <c r="AO60" s="44">
        <f t="shared" ref="AO60" si="793">$D60*AN60</f>
        <v>0</v>
      </c>
      <c r="AP60" s="45"/>
      <c r="AQ60" s="44">
        <f t="shared" si="17"/>
        <v>0</v>
      </c>
      <c r="AR60" s="45"/>
      <c r="AS60" s="44">
        <f t="shared" ref="AS60" si="794">$D60*AR60</f>
        <v>0</v>
      </c>
      <c r="AT60" s="45"/>
      <c r="AU60" s="44">
        <f t="shared" ref="AU60" si="795">$D60*AT60</f>
        <v>0</v>
      </c>
      <c r="AV60" s="45"/>
      <c r="AW60" s="44">
        <f t="shared" ref="AW60" si="796">$D60*AV60</f>
        <v>0</v>
      </c>
      <c r="AX60" s="45"/>
      <c r="AY60" s="44">
        <f t="shared" si="21"/>
        <v>0</v>
      </c>
      <c r="AZ60" s="48">
        <f t="shared" si="0"/>
        <v>0</v>
      </c>
      <c r="BA60" s="44">
        <f t="shared" si="22"/>
        <v>0</v>
      </c>
    </row>
    <row r="61" spans="1:53" ht="18" customHeight="1" x14ac:dyDescent="0.25">
      <c r="A61" t="s">
        <v>82</v>
      </c>
      <c r="B61" s="124">
        <v>61</v>
      </c>
      <c r="C61" s="125" t="s">
        <v>56</v>
      </c>
      <c r="D61" s="20">
        <v>90</v>
      </c>
      <c r="E61" s="33">
        <f t="shared" si="768"/>
        <v>61</v>
      </c>
      <c r="F61" s="34" t="s">
        <v>56</v>
      </c>
      <c r="G61" s="35">
        <v>90</v>
      </c>
      <c r="H61" s="53"/>
      <c r="I61" s="54">
        <f t="shared" si="4"/>
        <v>0</v>
      </c>
      <c r="J61" s="53"/>
      <c r="K61" s="54">
        <f t="shared" si="4"/>
        <v>0</v>
      </c>
      <c r="L61" s="53"/>
      <c r="M61" s="54">
        <f t="shared" ref="M61:O61" si="797">$D61*L61</f>
        <v>0</v>
      </c>
      <c r="N61" s="61"/>
      <c r="O61" s="54">
        <f t="shared" si="797"/>
        <v>0</v>
      </c>
      <c r="P61" s="61"/>
      <c r="Q61" s="54">
        <f t="shared" ref="Q61:S61" si="798">$D61*P61</f>
        <v>0</v>
      </c>
      <c r="R61" s="61"/>
      <c r="S61" s="54">
        <f t="shared" si="798"/>
        <v>0</v>
      </c>
      <c r="T61" s="61"/>
      <c r="U61" s="54">
        <f t="shared" ref="U61:W61" si="799">$D61*T61</f>
        <v>0</v>
      </c>
      <c r="V61" s="61"/>
      <c r="W61" s="54">
        <f t="shared" si="799"/>
        <v>0</v>
      </c>
      <c r="X61" s="61"/>
      <c r="Y61" s="54">
        <f t="shared" ref="Y61" si="800">$D61*X61</f>
        <v>0</v>
      </c>
      <c r="Z61" s="58"/>
      <c r="AA61" s="44">
        <f t="shared" ref="AA61" si="801">$D61*Z61</f>
        <v>0</v>
      </c>
      <c r="AB61" s="45"/>
      <c r="AC61" s="44">
        <f t="shared" ref="AC61" si="802">$D61*AB61</f>
        <v>0</v>
      </c>
      <c r="AD61" s="45"/>
      <c r="AE61" s="44">
        <f t="shared" ref="AE61" si="803">$D61*AD61</f>
        <v>0</v>
      </c>
      <c r="AF61" s="45"/>
      <c r="AG61" s="44">
        <f t="shared" ref="AG61" si="804">$D61*AF61</f>
        <v>0</v>
      </c>
      <c r="AH61" s="45"/>
      <c r="AI61" s="44">
        <f t="shared" si="13"/>
        <v>0</v>
      </c>
      <c r="AJ61" s="45"/>
      <c r="AK61" s="44">
        <f t="shared" ref="AK61" si="805">$D61*AJ61</f>
        <v>0</v>
      </c>
      <c r="AL61" s="45"/>
      <c r="AM61" s="44">
        <f t="shared" ref="AM61" si="806">$D61*AL61</f>
        <v>0</v>
      </c>
      <c r="AN61" s="45"/>
      <c r="AO61" s="44">
        <f t="shared" ref="AO61" si="807">$D61*AN61</f>
        <v>0</v>
      </c>
      <c r="AP61" s="45"/>
      <c r="AQ61" s="44">
        <f t="shared" si="17"/>
        <v>0</v>
      </c>
      <c r="AR61" s="45"/>
      <c r="AS61" s="44">
        <f t="shared" ref="AS61" si="808">$D61*AR61</f>
        <v>0</v>
      </c>
      <c r="AT61" s="45"/>
      <c r="AU61" s="44">
        <f t="shared" ref="AU61" si="809">$D61*AT61</f>
        <v>0</v>
      </c>
      <c r="AV61" s="45"/>
      <c r="AW61" s="44">
        <f t="shared" ref="AW61" si="810">$D61*AV61</f>
        <v>0</v>
      </c>
      <c r="AX61" s="45"/>
      <c r="AY61" s="44">
        <f t="shared" si="21"/>
        <v>0</v>
      </c>
      <c r="AZ61" s="48">
        <f t="shared" si="0"/>
        <v>0</v>
      </c>
      <c r="BA61" s="44">
        <f t="shared" si="22"/>
        <v>0</v>
      </c>
    </row>
    <row r="62" spans="1:53" ht="18" customHeight="1" x14ac:dyDescent="0.25">
      <c r="A62" t="s">
        <v>82</v>
      </c>
      <c r="B62" s="124">
        <v>20</v>
      </c>
      <c r="C62" s="125" t="s">
        <v>28</v>
      </c>
      <c r="D62" s="20">
        <v>90</v>
      </c>
      <c r="E62" s="33">
        <f>B62</f>
        <v>20</v>
      </c>
      <c r="F62" s="34" t="str">
        <f>C62</f>
        <v>Vinho Tinto (Diversos)</v>
      </c>
      <c r="G62" s="35">
        <f>D62</f>
        <v>90</v>
      </c>
      <c r="H62" s="53"/>
      <c r="I62" s="54">
        <f t="shared" si="4"/>
        <v>0</v>
      </c>
      <c r="J62" s="53"/>
      <c r="K62" s="54">
        <f t="shared" si="4"/>
        <v>0</v>
      </c>
      <c r="L62" s="53"/>
      <c r="M62" s="54">
        <f t="shared" ref="M62:O62" si="811">$D62*L62</f>
        <v>0</v>
      </c>
      <c r="N62" s="61"/>
      <c r="O62" s="54">
        <f t="shared" si="811"/>
        <v>0</v>
      </c>
      <c r="P62" s="61"/>
      <c r="Q62" s="54">
        <f t="shared" ref="Q62:S62" si="812">$D62*P62</f>
        <v>0</v>
      </c>
      <c r="R62" s="61"/>
      <c r="S62" s="54">
        <f t="shared" si="812"/>
        <v>0</v>
      </c>
      <c r="T62" s="61"/>
      <c r="U62" s="54">
        <f t="shared" ref="U62:W62" si="813">$D62*T62</f>
        <v>0</v>
      </c>
      <c r="V62" s="61"/>
      <c r="W62" s="54">
        <f t="shared" si="813"/>
        <v>0</v>
      </c>
      <c r="X62" s="61"/>
      <c r="Y62" s="54">
        <f t="shared" ref="Y62" si="814">$D62*X62</f>
        <v>0</v>
      </c>
      <c r="Z62" s="58"/>
      <c r="AA62" s="44">
        <f t="shared" ref="AA62" si="815">$D62*Z62</f>
        <v>0</v>
      </c>
      <c r="AB62" s="45"/>
      <c r="AC62" s="44">
        <f t="shared" ref="AC62" si="816">$D62*AB62</f>
        <v>0</v>
      </c>
      <c r="AD62" s="45"/>
      <c r="AE62" s="44">
        <f t="shared" ref="AE62" si="817">$D62*AD62</f>
        <v>0</v>
      </c>
      <c r="AF62" s="45"/>
      <c r="AG62" s="44">
        <f t="shared" ref="AG62" si="818">$D62*AF62</f>
        <v>0</v>
      </c>
      <c r="AH62" s="45"/>
      <c r="AI62" s="44">
        <f t="shared" si="13"/>
        <v>0</v>
      </c>
      <c r="AJ62" s="45"/>
      <c r="AK62" s="44">
        <f t="shared" ref="AK62" si="819">$D62*AJ62</f>
        <v>0</v>
      </c>
      <c r="AL62" s="45"/>
      <c r="AM62" s="44">
        <f t="shared" ref="AM62" si="820">$D62*AL62</f>
        <v>0</v>
      </c>
      <c r="AN62" s="45"/>
      <c r="AO62" s="44">
        <f t="shared" ref="AO62" si="821">$D62*AN62</f>
        <v>0</v>
      </c>
      <c r="AP62" s="45"/>
      <c r="AQ62" s="44">
        <f t="shared" si="17"/>
        <v>0</v>
      </c>
      <c r="AR62" s="45"/>
      <c r="AS62" s="44">
        <f t="shared" ref="AS62" si="822">$D62*AR62</f>
        <v>0</v>
      </c>
      <c r="AT62" s="45"/>
      <c r="AU62" s="44">
        <f t="shared" ref="AU62" si="823">$D62*AT62</f>
        <v>0</v>
      </c>
      <c r="AV62" s="45"/>
      <c r="AW62" s="44">
        <f t="shared" ref="AW62" si="824">$D62*AV62</f>
        <v>0</v>
      </c>
      <c r="AX62" s="45"/>
      <c r="AY62" s="44">
        <f t="shared" si="21"/>
        <v>0</v>
      </c>
      <c r="AZ62" s="48">
        <f t="shared" si="0"/>
        <v>0</v>
      </c>
      <c r="BA62" s="44">
        <f t="shared" si="22"/>
        <v>0</v>
      </c>
    </row>
    <row r="63" spans="1:53" ht="18" customHeight="1" thickBot="1" x14ac:dyDescent="0.3">
      <c r="A63" t="s">
        <v>82</v>
      </c>
      <c r="B63" s="126">
        <v>35</v>
      </c>
      <c r="C63" s="127" t="s">
        <v>79</v>
      </c>
      <c r="D63" s="128">
        <v>30</v>
      </c>
      <c r="E63" s="33">
        <f>B63</f>
        <v>35</v>
      </c>
      <c r="F63" s="34" t="str">
        <f>C63</f>
        <v>Rolha - Espumante &amp; Vinhos</v>
      </c>
      <c r="G63" s="35">
        <f>D63</f>
        <v>30</v>
      </c>
      <c r="H63" s="53"/>
      <c r="I63" s="54">
        <f>$D63*H63</f>
        <v>0</v>
      </c>
      <c r="J63" s="53"/>
      <c r="K63" s="54">
        <f>$D63*J63</f>
        <v>0</v>
      </c>
      <c r="L63" s="53"/>
      <c r="M63" s="54">
        <f>$D63*L63</f>
        <v>0</v>
      </c>
      <c r="N63" s="61"/>
      <c r="O63" s="54">
        <f>$D63*N63</f>
        <v>0</v>
      </c>
      <c r="P63" s="61"/>
      <c r="Q63" s="54">
        <f>$D63*P63</f>
        <v>0</v>
      </c>
      <c r="R63" s="61"/>
      <c r="S63" s="54">
        <f>$D63*R63</f>
        <v>0</v>
      </c>
      <c r="T63" s="61"/>
      <c r="U63" s="54">
        <f>$D63*T63</f>
        <v>0</v>
      </c>
      <c r="V63" s="61"/>
      <c r="W63" s="54">
        <f>$D63*V63</f>
        <v>0</v>
      </c>
      <c r="X63" s="61"/>
      <c r="Y63" s="54">
        <f>$D63*X63</f>
        <v>0</v>
      </c>
      <c r="Z63" s="58"/>
      <c r="AA63" s="44">
        <f>$D63*Z63</f>
        <v>0</v>
      </c>
      <c r="AB63" s="45"/>
      <c r="AC63" s="44">
        <f>$D63*AB63</f>
        <v>0</v>
      </c>
      <c r="AD63" s="45"/>
      <c r="AE63" s="44">
        <f>$D63*AD63</f>
        <v>0</v>
      </c>
      <c r="AF63" s="45"/>
      <c r="AG63" s="44">
        <f>$D63*AF63</f>
        <v>0</v>
      </c>
      <c r="AH63" s="45"/>
      <c r="AI63" s="44">
        <f>$D63*AH63</f>
        <v>0</v>
      </c>
      <c r="AJ63" s="45"/>
      <c r="AK63" s="44">
        <f>$D63*AJ63</f>
        <v>0</v>
      </c>
      <c r="AL63" s="45"/>
      <c r="AM63" s="44">
        <f>$D63*AL63</f>
        <v>0</v>
      </c>
      <c r="AN63" s="45"/>
      <c r="AO63" s="44">
        <f>$D63*AN63</f>
        <v>0</v>
      </c>
      <c r="AP63" s="45"/>
      <c r="AQ63" s="44">
        <f>$D63*AP63</f>
        <v>0</v>
      </c>
      <c r="AR63" s="45"/>
      <c r="AS63" s="44">
        <f>$D63*AR63</f>
        <v>0</v>
      </c>
      <c r="AT63" s="45"/>
      <c r="AU63" s="44">
        <f>$D63*AT63</f>
        <v>0</v>
      </c>
      <c r="AV63" s="45"/>
      <c r="AW63" s="44">
        <f>$D63*AV63</f>
        <v>0</v>
      </c>
      <c r="AX63" s="45"/>
      <c r="AY63" s="44">
        <f>$D63*AX63</f>
        <v>0</v>
      </c>
      <c r="AZ63" s="48">
        <f t="shared" ref="AZ63" si="825">H63+J63+L63+N63+P63+R63+T63+V63+X63+Z63+AB63+AD63+AF63+AH63+AJ63+AL63+AN63+AP63+AR63+AT63+AV63+AX63</f>
        <v>0</v>
      </c>
      <c r="BA63" s="44">
        <f>$D63*AZ63</f>
        <v>0</v>
      </c>
    </row>
    <row r="64" spans="1:53" ht="21.75" hidden="1" thickBot="1" x14ac:dyDescent="0.3">
      <c r="A64" t="s">
        <v>83</v>
      </c>
      <c r="B64" s="116" t="s">
        <v>40</v>
      </c>
      <c r="C64" s="117"/>
      <c r="D64" s="118"/>
      <c r="E64" s="88" t="s">
        <v>40</v>
      </c>
      <c r="F64" s="89"/>
      <c r="G64" s="90"/>
      <c r="H64" s="55" t="e">
        <f>10%*#REF!</f>
        <v>#REF!</v>
      </c>
      <c r="I64" s="54"/>
      <c r="J64" s="55" t="e">
        <f>10%*#REF!</f>
        <v>#REF!</v>
      </c>
      <c r="K64" s="54"/>
      <c r="L64" s="55" t="e">
        <f>10%*#REF!</f>
        <v>#REF!</v>
      </c>
      <c r="M64" s="54"/>
      <c r="N64" s="60"/>
      <c r="O64" s="54"/>
      <c r="P64" s="60"/>
      <c r="Q64" s="54"/>
      <c r="R64" s="60"/>
      <c r="S64" s="54"/>
      <c r="T64" s="60"/>
      <c r="U64" s="54"/>
      <c r="V64" s="60"/>
      <c r="W64" s="54"/>
      <c r="X64" s="60"/>
      <c r="Y64" s="54"/>
      <c r="Z64" s="57"/>
      <c r="AA64" s="44"/>
      <c r="AB64" s="43"/>
      <c r="AC64" s="44"/>
      <c r="AD64" s="43"/>
      <c r="AE64" s="44"/>
      <c r="AF64" s="43"/>
      <c r="AG64" s="44"/>
      <c r="AH64" s="43"/>
      <c r="AI64" s="44"/>
      <c r="AJ64" s="43"/>
      <c r="AK64" s="44"/>
      <c r="AL64" s="43"/>
      <c r="AM64" s="44"/>
      <c r="AN64" s="43"/>
      <c r="AO64" s="44"/>
      <c r="AP64" s="43"/>
      <c r="AQ64" s="44"/>
      <c r="AR64" s="43"/>
      <c r="AS64" s="44"/>
      <c r="AT64" s="43"/>
      <c r="AU64" s="44"/>
      <c r="AV64" s="43"/>
      <c r="AW64" s="44"/>
      <c r="AX64" s="43"/>
      <c r="AY64" s="44"/>
      <c r="AZ64" s="43"/>
      <c r="BA64" s="44">
        <f t="shared" si="22"/>
        <v>0</v>
      </c>
    </row>
    <row r="65" spans="1:53" s="69" customFormat="1" ht="18.75" customHeight="1" thickBot="1" x14ac:dyDescent="0.35">
      <c r="A65" s="69" t="s">
        <v>82</v>
      </c>
      <c r="B65" s="120" t="s">
        <v>41</v>
      </c>
      <c r="C65" s="121"/>
      <c r="D65" s="122"/>
      <c r="E65" s="91" t="s">
        <v>41</v>
      </c>
      <c r="F65" s="92"/>
      <c r="G65" s="93"/>
      <c r="H65" s="64">
        <f>SUM(H4:H62)</f>
        <v>0</v>
      </c>
      <c r="I65" s="65">
        <f>SUM(I4:I62)</f>
        <v>0</v>
      </c>
      <c r="J65" s="64">
        <f>SUM(J4:J62)</f>
        <v>0</v>
      </c>
      <c r="K65" s="65">
        <f>SUM(K4:K62)</f>
        <v>0</v>
      </c>
      <c r="L65" s="64">
        <f>SUM(L4:L62)</f>
        <v>0</v>
      </c>
      <c r="M65" s="65">
        <f>SUM(M4:M62)</f>
        <v>0</v>
      </c>
      <c r="N65" s="64">
        <f>SUM(N4:N62)</f>
        <v>0</v>
      </c>
      <c r="O65" s="65">
        <f>SUM(O4:O62)</f>
        <v>0</v>
      </c>
      <c r="P65" s="64">
        <f>SUM(P4:P62)</f>
        <v>0</v>
      </c>
      <c r="Q65" s="65">
        <f>SUM(Q4:Q62)</f>
        <v>0</v>
      </c>
      <c r="R65" s="64">
        <f>SUM(R4:R62)</f>
        <v>0</v>
      </c>
      <c r="S65" s="65">
        <f>SUM(S4:S62)</f>
        <v>0</v>
      </c>
      <c r="T65" s="64">
        <f>SUM(T4:T62)</f>
        <v>0</v>
      </c>
      <c r="U65" s="65">
        <f>SUM(U4:U62)</f>
        <v>0</v>
      </c>
      <c r="V65" s="64">
        <f>SUM(V4:V62)</f>
        <v>0</v>
      </c>
      <c r="W65" s="65">
        <f>SUM(W4:W62)</f>
        <v>0</v>
      </c>
      <c r="X65" s="64">
        <f>SUM(X4:X62)</f>
        <v>0</v>
      </c>
      <c r="Y65" s="65">
        <f>SUM(Y4:Y62)</f>
        <v>0</v>
      </c>
      <c r="Z65" s="66">
        <f>SUM(Z4:Z62)</f>
        <v>0</v>
      </c>
      <c r="AA65" s="67">
        <f>SUM(AA4:AA62)</f>
        <v>0</v>
      </c>
      <c r="AB65" s="68">
        <f>SUM(AB4:AB62)</f>
        <v>0</v>
      </c>
      <c r="AC65" s="67">
        <f>SUM(AC4:AC62)</f>
        <v>0</v>
      </c>
      <c r="AD65" s="68">
        <f>SUM(AD4:AD62)</f>
        <v>0</v>
      </c>
      <c r="AE65" s="67">
        <f>SUM(AE4:AE62)</f>
        <v>0</v>
      </c>
      <c r="AF65" s="68">
        <f>SUM(AF4:AF62)</f>
        <v>0</v>
      </c>
      <c r="AG65" s="67">
        <f>SUM(AG4:AG62)</f>
        <v>0</v>
      </c>
      <c r="AH65" s="68">
        <f>SUM(AH4:AH62)</f>
        <v>0</v>
      </c>
      <c r="AI65" s="67">
        <f>SUM(AI4:AI62)</f>
        <v>0</v>
      </c>
      <c r="AJ65" s="68">
        <f>SUM(AJ4:AJ62)</f>
        <v>0</v>
      </c>
      <c r="AK65" s="67">
        <f>SUM(AK4:AK62)</f>
        <v>0</v>
      </c>
      <c r="AL65" s="68">
        <f>SUM(AL4:AL62)</f>
        <v>0</v>
      </c>
      <c r="AM65" s="67">
        <f>SUM(AM4:AM62)</f>
        <v>0</v>
      </c>
      <c r="AN65" s="68">
        <f>SUM(AN4:AN62)</f>
        <v>0</v>
      </c>
      <c r="AO65" s="67">
        <f>SUM(AO4:AO62)</f>
        <v>0</v>
      </c>
      <c r="AP65" s="68">
        <f>SUM(AP4:AP62)</f>
        <v>0</v>
      </c>
      <c r="AQ65" s="67">
        <f>SUM(AQ4:AQ62)</f>
        <v>0</v>
      </c>
      <c r="AR65" s="68">
        <f>SUM(AR4:AR62)</f>
        <v>0</v>
      </c>
      <c r="AS65" s="67">
        <f>SUM(AS4:AS62)</f>
        <v>0</v>
      </c>
      <c r="AT65" s="68">
        <f>SUM(AT4:AT62)</f>
        <v>0</v>
      </c>
      <c r="AU65" s="67">
        <f>SUM(AU4:AU62)</f>
        <v>0</v>
      </c>
      <c r="AV65" s="68">
        <f>SUM(AV4:AV62)</f>
        <v>0</v>
      </c>
      <c r="AW65" s="67">
        <f>SUM(AW4:AW62)</f>
        <v>0</v>
      </c>
      <c r="AX65" s="68">
        <f>SUM(AX4:AX62)</f>
        <v>0</v>
      </c>
      <c r="AY65" s="67">
        <f>SUM(AY4:AY62)</f>
        <v>0</v>
      </c>
      <c r="AZ65" s="68">
        <f>H65+J65+L65+N65+P65+R65+T65+V65+X65+Z65+AB65+AD65+AF65+AH65+AJ65+AL65+AN65+AP65+AR65+AT65+AV65+AX65</f>
        <v>0</v>
      </c>
      <c r="BA65" s="67">
        <f>SUM(BA4:BA62)</f>
        <v>0</v>
      </c>
    </row>
    <row r="66" spans="1:53" s="69" customFormat="1" ht="15" customHeight="1" thickBot="1" x14ac:dyDescent="0.35">
      <c r="A66" s="69" t="s">
        <v>82</v>
      </c>
      <c r="B66" s="94" t="s">
        <v>49</v>
      </c>
      <c r="C66" s="95"/>
      <c r="D66" s="96"/>
      <c r="E66" s="94" t="s">
        <v>49</v>
      </c>
      <c r="F66" s="95"/>
      <c r="G66" s="96"/>
      <c r="H66" s="70"/>
      <c r="I66" s="71">
        <f>I65*10%</f>
        <v>0</v>
      </c>
      <c r="J66" s="72"/>
      <c r="K66" s="71">
        <f>K65*10%</f>
        <v>0</v>
      </c>
      <c r="L66" s="70"/>
      <c r="M66" s="71">
        <f>M65*10%</f>
        <v>0</v>
      </c>
      <c r="N66" s="73"/>
      <c r="O66" s="71">
        <f>O65*10%</f>
        <v>0</v>
      </c>
      <c r="P66" s="73"/>
      <c r="Q66" s="71">
        <f>Q65*10%</f>
        <v>0</v>
      </c>
      <c r="R66" s="73"/>
      <c r="S66" s="71">
        <f>S65*10%</f>
        <v>0</v>
      </c>
      <c r="T66" s="73"/>
      <c r="U66" s="71">
        <f>U65*10%</f>
        <v>0</v>
      </c>
      <c r="V66" s="73"/>
      <c r="W66" s="71">
        <f>W65*10%</f>
        <v>0</v>
      </c>
      <c r="X66" s="73"/>
      <c r="Y66" s="71">
        <f>Y65*10%</f>
        <v>0</v>
      </c>
      <c r="Z66" s="74"/>
      <c r="AA66" s="75">
        <f>AA65*10%</f>
        <v>0</v>
      </c>
      <c r="AB66" s="76"/>
      <c r="AC66" s="75">
        <f>AC65*10%</f>
        <v>0</v>
      </c>
      <c r="AD66" s="76"/>
      <c r="AE66" s="75">
        <f>AE65*10%</f>
        <v>0</v>
      </c>
      <c r="AF66" s="76"/>
      <c r="AG66" s="75">
        <f>AG65*10%</f>
        <v>0</v>
      </c>
      <c r="AH66" s="76"/>
      <c r="AI66" s="75">
        <f>AI65*10%</f>
        <v>0</v>
      </c>
      <c r="AJ66" s="76"/>
      <c r="AK66" s="75">
        <f>AK65*10%</f>
        <v>0</v>
      </c>
      <c r="AL66" s="76"/>
      <c r="AM66" s="75">
        <f>AM65*10%</f>
        <v>0</v>
      </c>
      <c r="AN66" s="76"/>
      <c r="AO66" s="75">
        <f>AO65*10%</f>
        <v>0</v>
      </c>
      <c r="AP66" s="76"/>
      <c r="AQ66" s="75">
        <f>AQ65*10%</f>
        <v>0</v>
      </c>
      <c r="AR66" s="76"/>
      <c r="AS66" s="75">
        <f>AS65*10%</f>
        <v>0</v>
      </c>
      <c r="AT66" s="76"/>
      <c r="AU66" s="75">
        <f>AU65*10%</f>
        <v>0</v>
      </c>
      <c r="AV66" s="76"/>
      <c r="AW66" s="75">
        <f>AW65*10%</f>
        <v>0</v>
      </c>
      <c r="AX66" s="76"/>
      <c r="AY66" s="75">
        <f>AY65*10%</f>
        <v>0</v>
      </c>
      <c r="AZ66" s="76"/>
      <c r="BA66" s="76"/>
    </row>
    <row r="67" spans="1:53" s="69" customFormat="1" ht="18" customHeight="1" thickBot="1" x14ac:dyDescent="0.35">
      <c r="A67" s="69" t="s">
        <v>82</v>
      </c>
      <c r="B67" s="120" t="s">
        <v>85</v>
      </c>
      <c r="C67" s="121"/>
      <c r="D67" s="122"/>
      <c r="E67" s="97" t="s">
        <v>48</v>
      </c>
      <c r="F67" s="98"/>
      <c r="G67" s="99"/>
      <c r="H67" s="77"/>
      <c r="I67" s="78">
        <f>I65+I66</f>
        <v>0</v>
      </c>
      <c r="J67" s="79"/>
      <c r="K67" s="78">
        <f>K65+K66</f>
        <v>0</v>
      </c>
      <c r="L67" s="80"/>
      <c r="M67" s="81">
        <f>M65+M66</f>
        <v>0</v>
      </c>
      <c r="N67" s="82"/>
      <c r="O67" s="81">
        <f>O65+O66</f>
        <v>0</v>
      </c>
      <c r="P67" s="82"/>
      <c r="Q67" s="81">
        <f>Q65+Q66</f>
        <v>0</v>
      </c>
      <c r="R67" s="83"/>
      <c r="S67" s="78">
        <f>S65+S66</f>
        <v>0</v>
      </c>
      <c r="T67" s="82"/>
      <c r="U67" s="81">
        <f>U65+U66</f>
        <v>0</v>
      </c>
      <c r="V67" s="82"/>
      <c r="W67" s="81">
        <f>W65+W66</f>
        <v>0</v>
      </c>
      <c r="X67" s="83"/>
      <c r="Y67" s="78">
        <f>Y65+Y66</f>
        <v>0</v>
      </c>
      <c r="Z67" s="84"/>
      <c r="AA67" s="85">
        <f>AA65+AA66</f>
        <v>0</v>
      </c>
      <c r="AB67" s="86"/>
      <c r="AC67" s="85">
        <f>AC65+AC66</f>
        <v>0</v>
      </c>
      <c r="AD67" s="86"/>
      <c r="AE67" s="85">
        <f>AE65+AE66</f>
        <v>0</v>
      </c>
      <c r="AF67" s="86"/>
      <c r="AG67" s="85">
        <f>AG65+AG66</f>
        <v>0</v>
      </c>
      <c r="AH67" s="86"/>
      <c r="AI67" s="85">
        <f>AI65+AI66</f>
        <v>0</v>
      </c>
      <c r="AJ67" s="86"/>
      <c r="AK67" s="85">
        <f>AK65+AK66</f>
        <v>0</v>
      </c>
      <c r="AL67" s="86"/>
      <c r="AM67" s="85">
        <f>AM65+AM66</f>
        <v>0</v>
      </c>
      <c r="AN67" s="86"/>
      <c r="AO67" s="85">
        <f>AO65+AO66</f>
        <v>0</v>
      </c>
      <c r="AP67" s="86"/>
      <c r="AQ67" s="85">
        <f>AQ65+AQ66</f>
        <v>0</v>
      </c>
      <c r="AR67" s="86"/>
      <c r="AS67" s="85">
        <f>AS65+AS66</f>
        <v>0</v>
      </c>
      <c r="AT67" s="86"/>
      <c r="AU67" s="85">
        <f>AU65+AU66</f>
        <v>0</v>
      </c>
      <c r="AV67" s="86"/>
      <c r="AW67" s="85">
        <f>AW65+AW66</f>
        <v>0</v>
      </c>
      <c r="AX67" s="86"/>
      <c r="AY67" s="85">
        <f>AY65+AY66</f>
        <v>0</v>
      </c>
      <c r="AZ67" s="85">
        <f>AZ65+AZ66</f>
        <v>0</v>
      </c>
      <c r="BA67" s="85">
        <f>BA65+BA66</f>
        <v>0</v>
      </c>
    </row>
    <row r="68" spans="1:53" ht="21.75" customHeight="1" x14ac:dyDescent="0.25">
      <c r="B68" s="24"/>
      <c r="C68" s="25"/>
      <c r="D68" s="26"/>
      <c r="E68" s="24"/>
      <c r="F68" s="25"/>
      <c r="G68" s="26"/>
      <c r="H68" s="49"/>
      <c r="I68" s="50"/>
      <c r="J68" s="56"/>
      <c r="K68" s="50"/>
      <c r="L68" s="49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</row>
    <row r="69" spans="1:53" x14ac:dyDescent="0.25">
      <c r="B69" s="3"/>
      <c r="C69" s="4"/>
      <c r="D69" s="5"/>
      <c r="E69" s="3"/>
      <c r="F69" s="4"/>
      <c r="G69" s="5"/>
    </row>
    <row r="70" spans="1:53" x14ac:dyDescent="0.25">
      <c r="B70" s="3"/>
      <c r="C70" s="4"/>
      <c r="D70" s="5"/>
      <c r="E70" s="3"/>
      <c r="F70" s="4"/>
      <c r="G70" s="5"/>
    </row>
    <row r="71" spans="1:53" x14ac:dyDescent="0.25">
      <c r="B71" s="3"/>
      <c r="C71" s="4"/>
      <c r="D71" s="5"/>
      <c r="E71" s="3"/>
      <c r="F71" s="4"/>
      <c r="G71" s="5"/>
    </row>
    <row r="72" spans="1:53" x14ac:dyDescent="0.25">
      <c r="B72" s="3"/>
      <c r="C72" s="4"/>
      <c r="D72" s="5"/>
      <c r="E72" s="3"/>
      <c r="F72" s="4"/>
      <c r="G72" s="5"/>
    </row>
    <row r="75" spans="1:53" x14ac:dyDescent="0.25">
      <c r="J75" s="47">
        <f>J73-J67</f>
        <v>0</v>
      </c>
      <c r="K75" s="7"/>
    </row>
  </sheetData>
  <autoFilter ref="A2:BA67" xr:uid="{00000000-0001-0000-0000-000000000000}">
    <filterColumn colId="0">
      <filters>
        <filter val="S"/>
      </filters>
    </filterColumn>
    <filterColumn colId="7" showButton="0"/>
    <filterColumn colId="9" showButton="0"/>
    <filterColumn colId="11" showButton="0"/>
    <filterColumn colId="13" showButton="0"/>
    <filterColumn colId="15" showButton="0"/>
    <filterColumn colId="17" showButton="0"/>
    <filterColumn colId="19" showButton="0"/>
    <filterColumn colId="21" showButton="0"/>
    <filterColumn colId="23" showButton="0"/>
    <filterColumn colId="25" showButton="0"/>
    <filterColumn colId="27" showButton="0"/>
    <filterColumn colId="29" showButton="0"/>
    <filterColumn colId="31" showButton="0"/>
    <filterColumn colId="33" showButton="0"/>
    <filterColumn colId="35" showButton="0"/>
    <filterColumn colId="37" showButton="0"/>
    <filterColumn colId="39" showButton="0"/>
    <filterColumn colId="41" showButton="0"/>
    <filterColumn colId="43" showButton="0"/>
    <filterColumn colId="45" showButton="0"/>
    <filterColumn colId="47" showButton="0"/>
    <filterColumn colId="49" showButton="0"/>
  </autoFilter>
  <sortState xmlns:xlrd2="http://schemas.microsoft.com/office/spreadsheetml/2017/richdata2" ref="B4:D27">
    <sortCondition ref="C4:C27"/>
  </sortState>
  <mergeCells count="30">
    <mergeCell ref="AV2:AW2"/>
    <mergeCell ref="AX2:AY2"/>
    <mergeCell ref="AL2:AM2"/>
    <mergeCell ref="AN2:AO2"/>
    <mergeCell ref="AP2:AQ2"/>
    <mergeCell ref="AR2:AS2"/>
    <mergeCell ref="AT2:AU2"/>
    <mergeCell ref="AB2:AC2"/>
    <mergeCell ref="AD2:AE2"/>
    <mergeCell ref="AF2:AG2"/>
    <mergeCell ref="AH2:AI2"/>
    <mergeCell ref="AJ2:AK2"/>
    <mergeCell ref="R2:S2"/>
    <mergeCell ref="T2:U2"/>
    <mergeCell ref="V2:W2"/>
    <mergeCell ref="X2:Y2"/>
    <mergeCell ref="Z2:AA2"/>
    <mergeCell ref="H2:I2"/>
    <mergeCell ref="J2:K2"/>
    <mergeCell ref="L2:M2"/>
    <mergeCell ref="N2:O2"/>
    <mergeCell ref="P2:Q2"/>
    <mergeCell ref="E64:G64"/>
    <mergeCell ref="E65:G65"/>
    <mergeCell ref="E66:G66"/>
    <mergeCell ref="E67:G67"/>
    <mergeCell ref="B64:D64"/>
    <mergeCell ref="B67:D67"/>
    <mergeCell ref="B66:D66"/>
    <mergeCell ref="B65:D65"/>
  </mergeCells>
  <printOptions horizontalCentered="1"/>
  <pageMargins left="0" right="0" top="0.78740157480314965" bottom="0" header="0" footer="0.11811023622047245"/>
  <pageSetup paperSize="9" scale="85" fitToWidth="0" fitToHeight="0" orientation="portrait" r:id="rId1"/>
  <ignoredErrors>
    <ignoredError sqref="B62 B29:D33 B41:B43 C35:D37 B47:D47 B56 C53:D53 C43:D43 C39:D39 D38 D41:D42 D55:D56 B35:B39 B45:C45 C52 B59:D59 B52:B5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I1:K4"/>
  <sheetViews>
    <sheetView workbookViewId="0"/>
  </sheetViews>
  <sheetFormatPr defaultRowHeight="15" x14ac:dyDescent="0.25"/>
  <sheetData>
    <row r="1" spans="9:11" x14ac:dyDescent="0.25">
      <c r="I1" t="s">
        <v>1</v>
      </c>
      <c r="K1" t="s">
        <v>2</v>
      </c>
    </row>
    <row r="2" spans="9:11" x14ac:dyDescent="0.25">
      <c r="I2" t="s">
        <v>19</v>
      </c>
      <c r="K2" t="s">
        <v>20</v>
      </c>
    </row>
    <row r="3" spans="9:11" x14ac:dyDescent="0.25">
      <c r="I3" t="s">
        <v>21</v>
      </c>
    </row>
    <row r="4" spans="9:11" x14ac:dyDescent="0.25">
      <c r="I4" t="s">
        <v>22</v>
      </c>
    </row>
  </sheetData>
  <pageMargins left="0.511811024" right="0.511811024" top="0.78740157499999996" bottom="0.78740157499999996" header="0.31496062000000002" footer="0.31496062000000002"/>
  <ignoredErrors>
    <ignoredError sqref="I1:K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Sheet</vt:lpstr>
      <vt:lpstr>Sheet2</vt:lpstr>
      <vt:lpstr>Sheet!Area_de_impressao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Mendonca</dc:creator>
  <cp:lastModifiedBy>Ricardo Mendonca</cp:lastModifiedBy>
  <cp:lastPrinted>2026-07-28T17:09:26Z</cp:lastPrinted>
  <dcterms:created xsi:type="dcterms:W3CDTF">2026-02-17T16:15:09Z</dcterms:created>
  <dcterms:modified xsi:type="dcterms:W3CDTF">2026-07-28T17:14:08Z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23.1.11.0</vt:lpwstr>
  </property>
</Properties>
</file>